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Biophysics\sasa\"/>
    </mc:Choice>
  </mc:AlternateContent>
  <xr:revisionPtr revIDLastSave="0" documentId="13_ncr:1_{B2F3563E-46A3-4F70-935E-95ED285E6DA4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DDMut-PPI" sheetId="1" r:id="rId1"/>
    <sheet name="SAAMBE-3D" sheetId="5" r:id="rId2"/>
    <sheet name="RDE-network" sheetId="6" r:id="rId3"/>
    <sheet name="PPI" sheetId="3" r:id="rId4"/>
    <sheet name="GeoStab" sheetId="2" r:id="rId5"/>
  </sheets>
  <definedNames>
    <definedName name="_xlnm._FilterDatabase" localSheetId="0" hidden="1">'DDMut-PPI'!$A$1:$K$115</definedName>
    <definedName name="_xlnm._FilterDatabase" localSheetId="4" hidden="1">GeoStab!$A$1:$H$113</definedName>
    <definedName name="_xlnm._FilterDatabase" localSheetId="3" hidden="1">PPI!$A$1:$H$115</definedName>
    <definedName name="_xlnm._FilterDatabase" localSheetId="2" hidden="1">'RDE-network'!$A$1:$N$115</definedName>
    <definedName name="_xlnm._FilterDatabase" localSheetId="1" hidden="1">'SAAMBE-3D'!$A$1:$M$115</definedName>
  </definedNames>
  <calcPr calcId="191029"/>
</workbook>
</file>

<file path=xl/calcChain.xml><?xml version="1.0" encoding="utf-8"?>
<calcChain xmlns="http://schemas.openxmlformats.org/spreadsheetml/2006/main">
  <c r="J81" i="1" l="1"/>
  <c r="K81" i="1" s="1"/>
  <c r="J69" i="1"/>
  <c r="K69" i="1" s="1"/>
  <c r="H20" i="3"/>
  <c r="H9" i="3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M115" i="5"/>
  <c r="K115" i="5"/>
  <c r="E115" i="5"/>
  <c r="M114" i="5"/>
  <c r="K114" i="5"/>
  <c r="E114" i="5"/>
  <c r="M113" i="5"/>
  <c r="K113" i="5"/>
  <c r="E113" i="5"/>
  <c r="M112" i="5"/>
  <c r="K112" i="5"/>
  <c r="E112" i="5"/>
  <c r="M111" i="5"/>
  <c r="K111" i="5"/>
  <c r="E111" i="5"/>
  <c r="M110" i="5"/>
  <c r="K110" i="5"/>
  <c r="E110" i="5"/>
  <c r="M109" i="5"/>
  <c r="K109" i="5"/>
  <c r="E109" i="5"/>
  <c r="M108" i="5"/>
  <c r="K108" i="5"/>
  <c r="E108" i="5"/>
  <c r="M107" i="5"/>
  <c r="K107" i="5"/>
  <c r="E107" i="5"/>
  <c r="M106" i="5"/>
  <c r="K106" i="5"/>
  <c r="E106" i="5"/>
  <c r="M105" i="5"/>
  <c r="K105" i="5"/>
  <c r="E105" i="5"/>
  <c r="M104" i="5"/>
  <c r="K104" i="5"/>
  <c r="E104" i="5"/>
  <c r="M103" i="5"/>
  <c r="K103" i="5"/>
  <c r="E103" i="5"/>
  <c r="M102" i="5"/>
  <c r="K102" i="5"/>
  <c r="E102" i="5"/>
  <c r="M101" i="5"/>
  <c r="K101" i="5"/>
  <c r="E101" i="5"/>
  <c r="M100" i="5"/>
  <c r="K100" i="5"/>
  <c r="E100" i="5"/>
  <c r="M99" i="5"/>
  <c r="K99" i="5"/>
  <c r="E99" i="5"/>
  <c r="M98" i="5"/>
  <c r="K98" i="5"/>
  <c r="E98" i="5"/>
  <c r="M97" i="5"/>
  <c r="K97" i="5"/>
  <c r="E97" i="5"/>
  <c r="M96" i="5"/>
  <c r="K96" i="5"/>
  <c r="E96" i="5"/>
  <c r="M95" i="5"/>
  <c r="K95" i="5"/>
  <c r="E95" i="5"/>
  <c r="M94" i="5"/>
  <c r="K94" i="5"/>
  <c r="E94" i="5"/>
  <c r="M93" i="5"/>
  <c r="K93" i="5"/>
  <c r="E93" i="5"/>
  <c r="M92" i="5"/>
  <c r="K92" i="5"/>
  <c r="E92" i="5"/>
  <c r="M91" i="5"/>
  <c r="K91" i="5"/>
  <c r="E91" i="5"/>
  <c r="M90" i="5"/>
  <c r="K90" i="5"/>
  <c r="E90" i="5"/>
  <c r="M89" i="5"/>
  <c r="K89" i="5"/>
  <c r="E89" i="5"/>
  <c r="M88" i="5"/>
  <c r="K88" i="5"/>
  <c r="E88" i="5"/>
  <c r="M87" i="5"/>
  <c r="K87" i="5"/>
  <c r="E87" i="5"/>
  <c r="M86" i="5"/>
  <c r="K86" i="5"/>
  <c r="E86" i="5"/>
  <c r="M85" i="5"/>
  <c r="K85" i="5"/>
  <c r="E85" i="5"/>
  <c r="M84" i="5"/>
  <c r="K84" i="5"/>
  <c r="E84" i="5"/>
  <c r="M83" i="5"/>
  <c r="K83" i="5"/>
  <c r="E83" i="5"/>
  <c r="M82" i="5"/>
  <c r="K82" i="5"/>
  <c r="E82" i="5"/>
  <c r="M81" i="5"/>
  <c r="K81" i="5"/>
  <c r="E81" i="5"/>
  <c r="M80" i="5"/>
  <c r="K80" i="5"/>
  <c r="E80" i="5"/>
  <c r="M79" i="5"/>
  <c r="K79" i="5"/>
  <c r="E79" i="5"/>
  <c r="M78" i="5"/>
  <c r="K78" i="5"/>
  <c r="E78" i="5"/>
  <c r="M77" i="5"/>
  <c r="K77" i="5"/>
  <c r="E77" i="5"/>
  <c r="M76" i="5"/>
  <c r="K76" i="5"/>
  <c r="E76" i="5"/>
  <c r="M75" i="5"/>
  <c r="K75" i="5"/>
  <c r="E75" i="5"/>
  <c r="M74" i="5"/>
  <c r="K74" i="5"/>
  <c r="E74" i="5"/>
  <c r="M73" i="5"/>
  <c r="K73" i="5"/>
  <c r="E73" i="5"/>
  <c r="M72" i="5"/>
  <c r="K72" i="5"/>
  <c r="E72" i="5"/>
  <c r="M71" i="5"/>
  <c r="K71" i="5"/>
  <c r="E71" i="5"/>
  <c r="M70" i="5"/>
  <c r="K70" i="5"/>
  <c r="E70" i="5"/>
  <c r="M69" i="5"/>
  <c r="K69" i="5"/>
  <c r="E69" i="5"/>
  <c r="M68" i="5"/>
  <c r="K68" i="5"/>
  <c r="E68" i="5"/>
  <c r="M67" i="5"/>
  <c r="K67" i="5"/>
  <c r="E67" i="5"/>
  <c r="M66" i="5"/>
  <c r="K66" i="5"/>
  <c r="E66" i="5"/>
  <c r="M65" i="5"/>
  <c r="K65" i="5"/>
  <c r="E65" i="5"/>
  <c r="M64" i="5"/>
  <c r="K64" i="5"/>
  <c r="E64" i="5"/>
  <c r="M63" i="5"/>
  <c r="K63" i="5"/>
  <c r="E63" i="5"/>
  <c r="M62" i="5"/>
  <c r="K62" i="5"/>
  <c r="E62" i="5"/>
  <c r="M61" i="5"/>
  <c r="K61" i="5"/>
  <c r="E61" i="5"/>
  <c r="M60" i="5"/>
  <c r="K60" i="5"/>
  <c r="E60" i="5"/>
  <c r="M59" i="5"/>
  <c r="K59" i="5"/>
  <c r="E59" i="5"/>
  <c r="M58" i="5"/>
  <c r="K58" i="5"/>
  <c r="E58" i="5"/>
  <c r="M57" i="5"/>
  <c r="K57" i="5"/>
  <c r="E57" i="5"/>
  <c r="M56" i="5"/>
  <c r="K56" i="5"/>
  <c r="E56" i="5"/>
  <c r="M55" i="5"/>
  <c r="K55" i="5"/>
  <c r="E55" i="5"/>
  <c r="M54" i="5"/>
  <c r="K54" i="5"/>
  <c r="E54" i="5"/>
  <c r="M53" i="5"/>
  <c r="K53" i="5"/>
  <c r="E53" i="5"/>
  <c r="M52" i="5"/>
  <c r="K52" i="5"/>
  <c r="E52" i="5"/>
  <c r="M51" i="5"/>
  <c r="K51" i="5"/>
  <c r="E51" i="5"/>
  <c r="M50" i="5"/>
  <c r="K50" i="5"/>
  <c r="E50" i="5"/>
  <c r="M49" i="5"/>
  <c r="K49" i="5"/>
  <c r="E49" i="5"/>
  <c r="M48" i="5"/>
  <c r="K48" i="5"/>
  <c r="E48" i="5"/>
  <c r="M47" i="5"/>
  <c r="K47" i="5"/>
  <c r="E47" i="5"/>
  <c r="M46" i="5"/>
  <c r="K46" i="5"/>
  <c r="E46" i="5"/>
  <c r="M45" i="5"/>
  <c r="K45" i="5"/>
  <c r="E45" i="5"/>
  <c r="M44" i="5"/>
  <c r="K44" i="5"/>
  <c r="E44" i="5"/>
  <c r="M43" i="5"/>
  <c r="K43" i="5"/>
  <c r="E43" i="5"/>
  <c r="M42" i="5"/>
  <c r="K42" i="5"/>
  <c r="E42" i="5"/>
  <c r="M41" i="5"/>
  <c r="K41" i="5"/>
  <c r="E41" i="5"/>
  <c r="M40" i="5"/>
  <c r="K40" i="5"/>
  <c r="E40" i="5"/>
  <c r="M39" i="5"/>
  <c r="K39" i="5"/>
  <c r="E39" i="5"/>
  <c r="M38" i="5"/>
  <c r="K38" i="5"/>
  <c r="E38" i="5"/>
  <c r="M37" i="5"/>
  <c r="K37" i="5"/>
  <c r="E37" i="5"/>
  <c r="M36" i="5"/>
  <c r="K36" i="5"/>
  <c r="E36" i="5"/>
  <c r="M35" i="5"/>
  <c r="K35" i="5"/>
  <c r="E35" i="5"/>
  <c r="M34" i="5"/>
  <c r="K34" i="5"/>
  <c r="E34" i="5"/>
  <c r="M33" i="5"/>
  <c r="K33" i="5"/>
  <c r="E33" i="5"/>
  <c r="M32" i="5"/>
  <c r="K32" i="5"/>
  <c r="E32" i="5"/>
  <c r="M31" i="5"/>
  <c r="K31" i="5"/>
  <c r="E31" i="5"/>
  <c r="M30" i="5"/>
  <c r="K30" i="5"/>
  <c r="E30" i="5"/>
  <c r="M29" i="5"/>
  <c r="K29" i="5"/>
  <c r="E29" i="5"/>
  <c r="M28" i="5"/>
  <c r="K28" i="5"/>
  <c r="E28" i="5"/>
  <c r="M27" i="5"/>
  <c r="K27" i="5"/>
  <c r="E27" i="5"/>
  <c r="M26" i="5"/>
  <c r="K26" i="5"/>
  <c r="E26" i="5"/>
  <c r="M25" i="5"/>
  <c r="K25" i="5"/>
  <c r="E25" i="5"/>
  <c r="M24" i="5"/>
  <c r="K24" i="5"/>
  <c r="E24" i="5"/>
  <c r="M23" i="5"/>
  <c r="K23" i="5"/>
  <c r="E23" i="5"/>
  <c r="M22" i="5"/>
  <c r="K22" i="5"/>
  <c r="E22" i="5"/>
  <c r="M21" i="5"/>
  <c r="K21" i="5"/>
  <c r="E21" i="5"/>
  <c r="M20" i="5"/>
  <c r="K20" i="5"/>
  <c r="E20" i="5"/>
  <c r="M19" i="5"/>
  <c r="K19" i="5"/>
  <c r="E19" i="5"/>
  <c r="M18" i="5"/>
  <c r="K18" i="5"/>
  <c r="E18" i="5"/>
  <c r="M17" i="5"/>
  <c r="K17" i="5"/>
  <c r="E17" i="5"/>
  <c r="M16" i="5"/>
  <c r="K16" i="5"/>
  <c r="E16" i="5"/>
  <c r="M15" i="5"/>
  <c r="K15" i="5"/>
  <c r="E15" i="5"/>
  <c r="M14" i="5"/>
  <c r="K14" i="5"/>
  <c r="E14" i="5"/>
  <c r="M13" i="5"/>
  <c r="K13" i="5"/>
  <c r="E13" i="5"/>
  <c r="M12" i="5"/>
  <c r="K12" i="5"/>
  <c r="E12" i="5"/>
  <c r="M11" i="5"/>
  <c r="K11" i="5"/>
  <c r="E11" i="5"/>
  <c r="M10" i="5"/>
  <c r="K10" i="5"/>
  <c r="E10" i="5"/>
  <c r="M9" i="5"/>
  <c r="K9" i="5"/>
  <c r="E9" i="5"/>
  <c r="M8" i="5"/>
  <c r="K8" i="5"/>
  <c r="E8" i="5"/>
  <c r="M7" i="5"/>
  <c r="K7" i="5"/>
  <c r="E7" i="5"/>
  <c r="M6" i="5"/>
  <c r="K6" i="5"/>
  <c r="E6" i="5"/>
  <c r="M5" i="5"/>
  <c r="K5" i="5"/>
  <c r="E5" i="5"/>
  <c r="M4" i="5"/>
  <c r="K4" i="5"/>
  <c r="E4" i="5"/>
  <c r="M3" i="5"/>
  <c r="K3" i="5"/>
  <c r="E3" i="5"/>
  <c r="M2" i="5"/>
  <c r="K2" i="5"/>
  <c r="E2" i="5"/>
  <c r="K115" i="1"/>
  <c r="J115" i="1"/>
  <c r="H115" i="1"/>
  <c r="D115" i="1"/>
  <c r="K114" i="1"/>
  <c r="J114" i="1"/>
  <c r="H114" i="1"/>
  <c r="D114" i="1"/>
  <c r="K113" i="1"/>
  <c r="J113" i="1"/>
  <c r="H113" i="1"/>
  <c r="D113" i="1"/>
  <c r="K112" i="1"/>
  <c r="J112" i="1"/>
  <c r="H112" i="1"/>
  <c r="D112" i="1"/>
  <c r="K111" i="1"/>
  <c r="J111" i="1"/>
  <c r="H111" i="1"/>
  <c r="D111" i="1"/>
  <c r="K110" i="1"/>
  <c r="J110" i="1"/>
  <c r="H110" i="1"/>
  <c r="D110" i="1"/>
  <c r="K109" i="1"/>
  <c r="J109" i="1"/>
  <c r="H109" i="1"/>
  <c r="D109" i="1"/>
  <c r="K108" i="1"/>
  <c r="J108" i="1"/>
  <c r="H108" i="1"/>
  <c r="D108" i="1"/>
  <c r="K107" i="1"/>
  <c r="J107" i="1"/>
  <c r="H107" i="1"/>
  <c r="D107" i="1"/>
  <c r="K106" i="1"/>
  <c r="J106" i="1"/>
  <c r="H106" i="1"/>
  <c r="D106" i="1"/>
  <c r="K105" i="1"/>
  <c r="J105" i="1"/>
  <c r="H105" i="1"/>
  <c r="D105" i="1"/>
  <c r="K104" i="1"/>
  <c r="J104" i="1"/>
  <c r="H104" i="1"/>
  <c r="D104" i="1"/>
  <c r="K103" i="1"/>
  <c r="J103" i="1"/>
  <c r="H103" i="1"/>
  <c r="D103" i="1"/>
  <c r="K102" i="1"/>
  <c r="J102" i="1"/>
  <c r="H102" i="1"/>
  <c r="D102" i="1"/>
  <c r="K101" i="1"/>
  <c r="J101" i="1"/>
  <c r="H101" i="1"/>
  <c r="D101" i="1"/>
  <c r="K100" i="1"/>
  <c r="J100" i="1"/>
  <c r="H100" i="1"/>
  <c r="D100" i="1"/>
  <c r="K99" i="1"/>
  <c r="J99" i="1"/>
  <c r="H99" i="1"/>
  <c r="D99" i="1"/>
  <c r="K98" i="1"/>
  <c r="J98" i="1"/>
  <c r="H98" i="1"/>
  <c r="D98" i="1"/>
  <c r="K97" i="1"/>
  <c r="J97" i="1"/>
  <c r="H97" i="1"/>
  <c r="D97" i="1"/>
  <c r="K96" i="1"/>
  <c r="J96" i="1"/>
  <c r="H96" i="1"/>
  <c r="D96" i="1"/>
  <c r="K95" i="1"/>
  <c r="J95" i="1"/>
  <c r="H95" i="1"/>
  <c r="D95" i="1"/>
  <c r="K94" i="1"/>
  <c r="J94" i="1"/>
  <c r="H94" i="1"/>
  <c r="D94" i="1"/>
  <c r="K93" i="1"/>
  <c r="J93" i="1"/>
  <c r="H93" i="1"/>
  <c r="D93" i="1"/>
  <c r="K92" i="1"/>
  <c r="J92" i="1"/>
  <c r="H92" i="1"/>
  <c r="D92" i="1"/>
  <c r="K91" i="1"/>
  <c r="J91" i="1"/>
  <c r="H91" i="1"/>
  <c r="D91" i="1"/>
  <c r="K90" i="1"/>
  <c r="J90" i="1"/>
  <c r="H90" i="1"/>
  <c r="D90" i="1"/>
  <c r="K89" i="1"/>
  <c r="J89" i="1"/>
  <c r="H89" i="1"/>
  <c r="D89" i="1"/>
  <c r="K88" i="1"/>
  <c r="J88" i="1"/>
  <c r="H88" i="1"/>
  <c r="D88" i="1"/>
  <c r="K87" i="1"/>
  <c r="J87" i="1"/>
  <c r="H87" i="1"/>
  <c r="D87" i="1"/>
  <c r="K86" i="1"/>
  <c r="J86" i="1"/>
  <c r="H86" i="1"/>
  <c r="D86" i="1"/>
  <c r="K85" i="1"/>
  <c r="J85" i="1"/>
  <c r="H85" i="1"/>
  <c r="D85" i="1"/>
  <c r="K84" i="1"/>
  <c r="J84" i="1"/>
  <c r="H84" i="1"/>
  <c r="D84" i="1"/>
  <c r="K83" i="1"/>
  <c r="J83" i="1"/>
  <c r="H83" i="1"/>
  <c r="D83" i="1"/>
  <c r="K82" i="1"/>
  <c r="J82" i="1"/>
  <c r="H82" i="1"/>
  <c r="D82" i="1"/>
  <c r="H81" i="1"/>
  <c r="D81" i="1"/>
  <c r="K80" i="1"/>
  <c r="J80" i="1"/>
  <c r="H80" i="1"/>
  <c r="D80" i="1"/>
  <c r="K79" i="1"/>
  <c r="J79" i="1"/>
  <c r="H79" i="1"/>
  <c r="D79" i="1"/>
  <c r="K78" i="1"/>
  <c r="J78" i="1"/>
  <c r="H78" i="1"/>
  <c r="D78" i="1"/>
  <c r="K77" i="1"/>
  <c r="J77" i="1"/>
  <c r="H77" i="1"/>
  <c r="D77" i="1"/>
  <c r="K76" i="1"/>
  <c r="J76" i="1"/>
  <c r="H76" i="1"/>
  <c r="D76" i="1"/>
  <c r="K75" i="1"/>
  <c r="J75" i="1"/>
  <c r="H75" i="1"/>
  <c r="D75" i="1"/>
  <c r="K74" i="1"/>
  <c r="J74" i="1"/>
  <c r="H74" i="1"/>
  <c r="D74" i="1"/>
  <c r="K73" i="1"/>
  <c r="J73" i="1"/>
  <c r="H73" i="1"/>
  <c r="D73" i="1"/>
  <c r="K72" i="1"/>
  <c r="J72" i="1"/>
  <c r="H72" i="1"/>
  <c r="D72" i="1"/>
  <c r="K71" i="1"/>
  <c r="J71" i="1"/>
  <c r="H71" i="1"/>
  <c r="D71" i="1"/>
  <c r="K70" i="1"/>
  <c r="J70" i="1"/>
  <c r="H70" i="1"/>
  <c r="D70" i="1"/>
  <c r="H69" i="1"/>
  <c r="D69" i="1"/>
  <c r="K68" i="1"/>
  <c r="J68" i="1"/>
  <c r="H68" i="1"/>
  <c r="D68" i="1"/>
  <c r="K67" i="1"/>
  <c r="J67" i="1"/>
  <c r="H67" i="1"/>
  <c r="D67" i="1"/>
  <c r="K66" i="1"/>
  <c r="J66" i="1"/>
  <c r="H66" i="1"/>
  <c r="D66" i="1"/>
  <c r="K65" i="1"/>
  <c r="J65" i="1"/>
  <c r="H65" i="1"/>
  <c r="D65" i="1"/>
  <c r="K64" i="1"/>
  <c r="J64" i="1"/>
  <c r="H64" i="1"/>
  <c r="D64" i="1"/>
  <c r="K63" i="1"/>
  <c r="J63" i="1"/>
  <c r="H63" i="1"/>
  <c r="D63" i="1"/>
  <c r="K62" i="1"/>
  <c r="J62" i="1"/>
  <c r="H62" i="1"/>
  <c r="D62" i="1"/>
  <c r="K61" i="1"/>
  <c r="J61" i="1"/>
  <c r="H61" i="1"/>
  <c r="D61" i="1"/>
  <c r="K60" i="1"/>
  <c r="J60" i="1"/>
  <c r="H60" i="1"/>
  <c r="D60" i="1"/>
  <c r="K59" i="1"/>
  <c r="J59" i="1"/>
  <c r="H59" i="1"/>
  <c r="D59" i="1"/>
  <c r="K58" i="1"/>
  <c r="J58" i="1"/>
  <c r="H58" i="1"/>
  <c r="D58" i="1"/>
  <c r="K57" i="1"/>
  <c r="J57" i="1"/>
  <c r="H57" i="1"/>
  <c r="D57" i="1"/>
  <c r="K56" i="1"/>
  <c r="J56" i="1"/>
  <c r="H56" i="1"/>
  <c r="D56" i="1"/>
  <c r="K55" i="1"/>
  <c r="J55" i="1"/>
  <c r="H55" i="1"/>
  <c r="D55" i="1"/>
  <c r="K54" i="1"/>
  <c r="J54" i="1"/>
  <c r="H54" i="1"/>
  <c r="D54" i="1"/>
  <c r="K53" i="1"/>
  <c r="J53" i="1"/>
  <c r="H53" i="1"/>
  <c r="D53" i="1"/>
  <c r="K52" i="1"/>
  <c r="J52" i="1"/>
  <c r="H52" i="1"/>
  <c r="D52" i="1"/>
  <c r="K51" i="1"/>
  <c r="J51" i="1"/>
  <c r="H51" i="1"/>
  <c r="D51" i="1"/>
  <c r="K50" i="1"/>
  <c r="J50" i="1"/>
  <c r="H50" i="1"/>
  <c r="D50" i="1"/>
  <c r="K49" i="1"/>
  <c r="J49" i="1"/>
  <c r="H49" i="1"/>
  <c r="D49" i="1"/>
  <c r="K48" i="1"/>
  <c r="J48" i="1"/>
  <c r="H48" i="1"/>
  <c r="D48" i="1"/>
  <c r="K47" i="1"/>
  <c r="J47" i="1"/>
  <c r="H47" i="1"/>
  <c r="D47" i="1"/>
  <c r="K46" i="1"/>
  <c r="J46" i="1"/>
  <c r="H46" i="1"/>
  <c r="D46" i="1"/>
  <c r="K45" i="1"/>
  <c r="J45" i="1"/>
  <c r="H45" i="1"/>
  <c r="D45" i="1"/>
  <c r="K44" i="1"/>
  <c r="J44" i="1"/>
  <c r="H44" i="1"/>
  <c r="D44" i="1"/>
  <c r="K43" i="1"/>
  <c r="J43" i="1"/>
  <c r="H43" i="1"/>
  <c r="D43" i="1"/>
  <c r="K42" i="1"/>
  <c r="J42" i="1"/>
  <c r="H42" i="1"/>
  <c r="D42" i="1"/>
  <c r="K41" i="1"/>
  <c r="J41" i="1"/>
  <c r="H41" i="1"/>
  <c r="D41" i="1"/>
  <c r="K40" i="1"/>
  <c r="J40" i="1"/>
  <c r="H40" i="1"/>
  <c r="D40" i="1"/>
  <c r="K39" i="1"/>
  <c r="J39" i="1"/>
  <c r="H39" i="1"/>
  <c r="D39" i="1"/>
  <c r="K38" i="1"/>
  <c r="J38" i="1"/>
  <c r="H38" i="1"/>
  <c r="D38" i="1"/>
  <c r="K37" i="1"/>
  <c r="J37" i="1"/>
  <c r="H37" i="1"/>
  <c r="D37" i="1"/>
  <c r="K36" i="1"/>
  <c r="J36" i="1"/>
  <c r="H36" i="1"/>
  <c r="D36" i="1"/>
  <c r="K35" i="1"/>
  <c r="J35" i="1"/>
  <c r="H35" i="1"/>
  <c r="D35" i="1"/>
  <c r="K34" i="1"/>
  <c r="J34" i="1"/>
  <c r="H34" i="1"/>
  <c r="D34" i="1"/>
  <c r="K33" i="1"/>
  <c r="J33" i="1"/>
  <c r="H33" i="1"/>
  <c r="D33" i="1"/>
  <c r="K32" i="1"/>
  <c r="J32" i="1"/>
  <c r="H32" i="1"/>
  <c r="D32" i="1"/>
  <c r="K31" i="1"/>
  <c r="J31" i="1"/>
  <c r="H31" i="1"/>
  <c r="D31" i="1"/>
  <c r="K30" i="1"/>
  <c r="J30" i="1"/>
  <c r="H30" i="1"/>
  <c r="D30" i="1"/>
  <c r="K29" i="1"/>
  <c r="J29" i="1"/>
  <c r="H29" i="1"/>
  <c r="D29" i="1"/>
  <c r="K28" i="1"/>
  <c r="J28" i="1"/>
  <c r="H28" i="1"/>
  <c r="D28" i="1"/>
  <c r="K27" i="1"/>
  <c r="J27" i="1"/>
  <c r="H27" i="1"/>
  <c r="D27" i="1"/>
  <c r="K26" i="1"/>
  <c r="J26" i="1"/>
  <c r="H26" i="1"/>
  <c r="D26" i="1"/>
  <c r="K25" i="1"/>
  <c r="J25" i="1"/>
  <c r="H25" i="1"/>
  <c r="D25" i="1"/>
  <c r="K24" i="1"/>
  <c r="J24" i="1"/>
  <c r="H24" i="1"/>
  <c r="D24" i="1"/>
  <c r="K23" i="1"/>
  <c r="J23" i="1"/>
  <c r="H23" i="1"/>
  <c r="D23" i="1"/>
  <c r="K22" i="1"/>
  <c r="J22" i="1"/>
  <c r="H22" i="1"/>
  <c r="D22" i="1"/>
  <c r="K21" i="1"/>
  <c r="J21" i="1"/>
  <c r="H21" i="1"/>
  <c r="D21" i="1"/>
  <c r="K20" i="1"/>
  <c r="J20" i="1"/>
  <c r="H20" i="1"/>
  <c r="D20" i="1"/>
  <c r="K19" i="1"/>
  <c r="J19" i="1"/>
  <c r="H19" i="1"/>
  <c r="D19" i="1"/>
  <c r="K18" i="1"/>
  <c r="J18" i="1"/>
  <c r="H18" i="1"/>
  <c r="D18" i="1"/>
  <c r="K17" i="1"/>
  <c r="J17" i="1"/>
  <c r="H17" i="1"/>
  <c r="D17" i="1"/>
  <c r="K16" i="1"/>
  <c r="J16" i="1"/>
  <c r="H16" i="1"/>
  <c r="D16" i="1"/>
  <c r="K15" i="1"/>
  <c r="J15" i="1"/>
  <c r="H15" i="1"/>
  <c r="D15" i="1"/>
  <c r="K14" i="1"/>
  <c r="J14" i="1"/>
  <c r="H14" i="1"/>
  <c r="D14" i="1"/>
  <c r="K13" i="1"/>
  <c r="J13" i="1"/>
  <c r="H13" i="1"/>
  <c r="D13" i="1"/>
  <c r="K12" i="1"/>
  <c r="J12" i="1"/>
  <c r="H12" i="1"/>
  <c r="D12" i="1"/>
  <c r="K11" i="1"/>
  <c r="J11" i="1"/>
  <c r="H11" i="1"/>
  <c r="D11" i="1"/>
  <c r="K10" i="1"/>
  <c r="J10" i="1"/>
  <c r="H10" i="1"/>
  <c r="D10" i="1"/>
  <c r="K9" i="1"/>
  <c r="J9" i="1"/>
  <c r="H9" i="1"/>
  <c r="D9" i="1"/>
  <c r="K8" i="1"/>
  <c r="J8" i="1"/>
  <c r="H8" i="1"/>
  <c r="D8" i="1"/>
  <c r="K7" i="1"/>
  <c r="J7" i="1"/>
  <c r="H7" i="1"/>
  <c r="D7" i="1"/>
  <c r="K6" i="1"/>
  <c r="J6" i="1"/>
  <c r="H6" i="1"/>
  <c r="D6" i="1"/>
  <c r="K5" i="1"/>
  <c r="J5" i="1"/>
  <c r="H5" i="1"/>
  <c r="D5" i="1"/>
  <c r="K4" i="1"/>
  <c r="J4" i="1"/>
  <c r="H4" i="1"/>
  <c r="D4" i="1"/>
  <c r="K3" i="1"/>
  <c r="J3" i="1"/>
  <c r="H3" i="1"/>
  <c r="D3" i="1"/>
  <c r="K2" i="1"/>
  <c r="J2" i="1"/>
  <c r="H2" i="1"/>
  <c r="D2" i="1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19" i="3"/>
  <c r="H18" i="3"/>
  <c r="H17" i="3"/>
  <c r="H16" i="3"/>
  <c r="H15" i="3"/>
  <c r="H14" i="3"/>
  <c r="H13" i="3"/>
  <c r="H12" i="3"/>
  <c r="H11" i="3"/>
  <c r="H10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<sst xmlns="http://schemas.openxmlformats.org/spreadsheetml/2006/main" count="2896" uniqueCount="383">
  <si>
    <t>chain</t>
  </si>
  <si>
    <t>site</t>
  </si>
  <si>
    <t>mutation</t>
  </si>
  <si>
    <t>label</t>
  </si>
  <si>
    <t>DDMut-PPI</t>
  </si>
  <si>
    <t>pre average</t>
  </si>
  <si>
    <t>average</t>
  </si>
  <si>
    <t>A</t>
  </si>
  <si>
    <t>R40C</t>
  </si>
  <si>
    <t>E</t>
  </si>
  <si>
    <t>R40G</t>
  </si>
  <si>
    <t>R40S</t>
  </si>
  <si>
    <t>E50D</t>
  </si>
  <si>
    <t>E50G</t>
  </si>
  <si>
    <t>E50K</t>
  </si>
  <si>
    <t>E50Q</t>
  </si>
  <si>
    <t>R52C</t>
  </si>
  <si>
    <t>R52H</t>
  </si>
  <si>
    <t>R52L</t>
  </si>
  <si>
    <t>R52P</t>
  </si>
  <si>
    <t>R72C</t>
  </si>
  <si>
    <t>R72L</t>
  </si>
  <si>
    <t>R72M</t>
  </si>
  <si>
    <t>R72P</t>
  </si>
  <si>
    <t>R72Q</t>
  </si>
  <si>
    <t>E73D</t>
  </si>
  <si>
    <t>E73K</t>
  </si>
  <si>
    <t>E73Q</t>
  </si>
  <si>
    <t>D77E</t>
  </si>
  <si>
    <t>D77H</t>
  </si>
  <si>
    <t>D77N</t>
  </si>
  <si>
    <t>D77V</t>
  </si>
  <si>
    <t>D81E</t>
  </si>
  <si>
    <t>D81H</t>
  </si>
  <si>
    <t>D81N</t>
  </si>
  <si>
    <t>D81V</t>
  </si>
  <si>
    <t>R83C</t>
  </si>
  <si>
    <t>R83S</t>
  </si>
  <si>
    <t>E97K</t>
  </si>
  <si>
    <t>E97Q</t>
  </si>
  <si>
    <t>E105D</t>
  </si>
  <si>
    <t>E105K</t>
  </si>
  <si>
    <t>E105Q</t>
  </si>
  <si>
    <t>E105V</t>
  </si>
  <si>
    <t>D106H</t>
  </si>
  <si>
    <t>D106N</t>
  </si>
  <si>
    <t>D106Y</t>
  </si>
  <si>
    <t>A127E</t>
  </si>
  <si>
    <t>A127G</t>
  </si>
  <si>
    <t>A127P</t>
  </si>
  <si>
    <t>A127S</t>
  </si>
  <si>
    <t>A127V</t>
  </si>
  <si>
    <t>R131C</t>
  </si>
  <si>
    <t>R131G</t>
  </si>
  <si>
    <t>R131H</t>
  </si>
  <si>
    <t>R131P</t>
  </si>
  <si>
    <t>R131Q</t>
  </si>
  <si>
    <t>E133D</t>
  </si>
  <si>
    <t>E133K</t>
  </si>
  <si>
    <t>E133Q</t>
  </si>
  <si>
    <t>R134I</t>
  </si>
  <si>
    <t>R134K</t>
  </si>
  <si>
    <t>R134S</t>
  </si>
  <si>
    <t>R134T</t>
  </si>
  <si>
    <t>B</t>
  </si>
  <si>
    <t>D68F</t>
  </si>
  <si>
    <t>F</t>
  </si>
  <si>
    <t>D68G</t>
  </si>
  <si>
    <t>D68H</t>
  </si>
  <si>
    <t>D68N</t>
  </si>
  <si>
    <t>D68Y</t>
  </si>
  <si>
    <t>C</t>
  </si>
  <si>
    <t>S19C</t>
  </si>
  <si>
    <t>G</t>
  </si>
  <si>
    <t>S19F</t>
  </si>
  <si>
    <t>S19L</t>
  </si>
  <si>
    <t>S19P</t>
  </si>
  <si>
    <t>S19Y</t>
  </si>
  <si>
    <t>R29P</t>
  </si>
  <si>
    <t>R29Q</t>
  </si>
  <si>
    <t>R29L</t>
  </si>
  <si>
    <t>G37C</t>
  </si>
  <si>
    <t>G37D</t>
  </si>
  <si>
    <t>G37S</t>
  </si>
  <si>
    <t>G37V</t>
  </si>
  <si>
    <t>E56A</t>
  </si>
  <si>
    <t>E56D</t>
  </si>
  <si>
    <t>E56G</t>
  </si>
  <si>
    <t>E56K</t>
  </si>
  <si>
    <t>E56Q</t>
  </si>
  <si>
    <t>K74E</t>
  </si>
  <si>
    <t>K74N</t>
  </si>
  <si>
    <t>K74R</t>
  </si>
  <si>
    <t>D</t>
  </si>
  <si>
    <t>E35A</t>
  </si>
  <si>
    <t>H</t>
  </si>
  <si>
    <t>E35D</t>
  </si>
  <si>
    <t>E35K</t>
  </si>
  <si>
    <t>S36C</t>
  </si>
  <si>
    <t>S36N</t>
  </si>
  <si>
    <t>S36R</t>
  </si>
  <si>
    <t>G53A</t>
  </si>
  <si>
    <t>G53C</t>
  </si>
  <si>
    <t>G53D</t>
  </si>
  <si>
    <t>G53R</t>
  </si>
  <si>
    <t>G53S</t>
  </si>
  <si>
    <t>F70C</t>
  </si>
  <si>
    <t>F70L</t>
  </si>
  <si>
    <t>F70S</t>
  </si>
  <si>
    <t>E71K</t>
  </si>
  <si>
    <t>E71Q</t>
  </si>
  <si>
    <t>E76K</t>
  </si>
  <si>
    <t>E76Q</t>
  </si>
  <si>
    <t>T88A</t>
  </si>
  <si>
    <t>T88I</t>
  </si>
  <si>
    <t>T88N</t>
  </si>
  <si>
    <t>T88S</t>
  </si>
  <si>
    <t>E93D</t>
  </si>
  <si>
    <t>E93K</t>
  </si>
  <si>
    <t>E93Q</t>
  </si>
  <si>
    <t>G104E</t>
  </si>
  <si>
    <t>G104R</t>
  </si>
  <si>
    <t>G104W</t>
  </si>
  <si>
    <t>E113D</t>
  </si>
  <si>
    <t>E113K</t>
  </si>
  <si>
    <t>E113Q</t>
  </si>
  <si>
    <t>wild</t>
  </si>
  <si>
    <t>mut</t>
  </si>
  <si>
    <t>SAAMBE-3D</t>
  </si>
  <si>
    <t>R</t>
  </si>
  <si>
    <t>S</t>
  </si>
  <si>
    <t>K</t>
  </si>
  <si>
    <t>Q</t>
  </si>
  <si>
    <t>L</t>
  </si>
  <si>
    <t>P</t>
  </si>
  <si>
    <t>M</t>
  </si>
  <si>
    <t>N</t>
  </si>
  <si>
    <t>V</t>
  </si>
  <si>
    <t>Y</t>
  </si>
  <si>
    <t>I</t>
  </si>
  <si>
    <t>T</t>
  </si>
  <si>
    <t>W</t>
  </si>
  <si>
    <t>PDB</t>
  </si>
  <si>
    <t>RDE</t>
  </si>
  <si>
    <t>3AFA</t>
  </si>
  <si>
    <t>RA40C</t>
  </si>
  <si>
    <t>RE40C</t>
  </si>
  <si>
    <t>RA40G</t>
  </si>
  <si>
    <t>RE40G</t>
  </si>
  <si>
    <t>RA40S</t>
  </si>
  <si>
    <t>RE40S</t>
  </si>
  <si>
    <t>EA50D</t>
  </si>
  <si>
    <t>EE50D</t>
  </si>
  <si>
    <t>EA50G</t>
  </si>
  <si>
    <t>EE50G</t>
  </si>
  <si>
    <t>EA50K</t>
  </si>
  <si>
    <t>EE50K</t>
  </si>
  <si>
    <t>EA50Q</t>
  </si>
  <si>
    <t>EE50Q</t>
  </si>
  <si>
    <t>RA52C</t>
  </si>
  <si>
    <t>RE52C</t>
  </si>
  <si>
    <t>RA52H</t>
  </si>
  <si>
    <t>RE52H</t>
  </si>
  <si>
    <t>RA52L</t>
  </si>
  <si>
    <t>RE52L</t>
  </si>
  <si>
    <t>RA52P</t>
  </si>
  <si>
    <t>RE52P</t>
  </si>
  <si>
    <t>RA72C</t>
  </si>
  <si>
    <t>RE72C</t>
  </si>
  <si>
    <t>RA72L</t>
  </si>
  <si>
    <t>RE72L</t>
  </si>
  <si>
    <t>RA72M</t>
  </si>
  <si>
    <t>RE72M</t>
  </si>
  <si>
    <t>RA72P</t>
  </si>
  <si>
    <t>RE72P</t>
  </si>
  <si>
    <t>RA72Q</t>
  </si>
  <si>
    <t>RE72Q</t>
  </si>
  <si>
    <t>EA73D</t>
  </si>
  <si>
    <t>EE73D</t>
  </si>
  <si>
    <t>EA73K</t>
  </si>
  <si>
    <t>EE73K</t>
  </si>
  <si>
    <t>EA73Q</t>
  </si>
  <si>
    <t>EE73Q</t>
  </si>
  <si>
    <t>DA77E</t>
  </si>
  <si>
    <t>DE77E</t>
  </si>
  <si>
    <t>DA77H</t>
  </si>
  <si>
    <t>DE77H</t>
  </si>
  <si>
    <t>DA77N</t>
  </si>
  <si>
    <t>DE77N</t>
  </si>
  <si>
    <t>DA77V</t>
  </si>
  <si>
    <t>DE77V</t>
  </si>
  <si>
    <t>DA81E</t>
  </si>
  <si>
    <t>DE81E</t>
  </si>
  <si>
    <t>DA81H</t>
  </si>
  <si>
    <t>DE81H</t>
  </si>
  <si>
    <t>DA81N</t>
  </si>
  <si>
    <t>DE81N</t>
  </si>
  <si>
    <t>DA81V</t>
  </si>
  <si>
    <t>DE81V</t>
  </si>
  <si>
    <t>RA83C</t>
  </si>
  <si>
    <t>RE83C</t>
  </si>
  <si>
    <t>RA83S</t>
  </si>
  <si>
    <t>RE83S</t>
  </si>
  <si>
    <t>EA97K</t>
  </si>
  <si>
    <t>EE97K</t>
  </si>
  <si>
    <t>EA97Q</t>
  </si>
  <si>
    <t>EE97Q</t>
  </si>
  <si>
    <t>EA105D</t>
  </si>
  <si>
    <t>EE105D</t>
  </si>
  <si>
    <t>EA105K</t>
  </si>
  <si>
    <t>EE105K</t>
  </si>
  <si>
    <t>EA105Q</t>
  </si>
  <si>
    <t>EE105Q</t>
  </si>
  <si>
    <t>EA105V</t>
  </si>
  <si>
    <t>EE105V</t>
  </si>
  <si>
    <t>DA106H</t>
  </si>
  <si>
    <t>DE106H</t>
  </si>
  <si>
    <t>DA106N</t>
  </si>
  <si>
    <t>DE106N</t>
  </si>
  <si>
    <t>DA106Y</t>
  </si>
  <si>
    <t>DE106Y</t>
  </si>
  <si>
    <t>AA127E</t>
  </si>
  <si>
    <t>AE127E</t>
  </si>
  <si>
    <t>AA127G</t>
  </si>
  <si>
    <t>AE127G</t>
  </si>
  <si>
    <t>AA127P</t>
  </si>
  <si>
    <t>AE127P</t>
  </si>
  <si>
    <t>AA127S</t>
  </si>
  <si>
    <t>AE127S</t>
  </si>
  <si>
    <t>AA127V</t>
  </si>
  <si>
    <t>AE127V</t>
  </si>
  <si>
    <t>RA131C</t>
  </si>
  <si>
    <t>RE131C</t>
  </si>
  <si>
    <t>RA131G</t>
  </si>
  <si>
    <t>RE131G</t>
  </si>
  <si>
    <t>RA131H</t>
  </si>
  <si>
    <t>RE131H</t>
  </si>
  <si>
    <t>RA131P</t>
  </si>
  <si>
    <t>RE131P</t>
  </si>
  <si>
    <t>RA131Q</t>
  </si>
  <si>
    <t>RE131Q</t>
  </si>
  <si>
    <t>EA133D</t>
  </si>
  <si>
    <t>EE133D</t>
  </si>
  <si>
    <t>EA133K</t>
  </si>
  <si>
    <t>EE133K</t>
  </si>
  <si>
    <t>EA133Q</t>
  </si>
  <si>
    <t>EE133Q</t>
  </si>
  <si>
    <t>RA134I</t>
  </si>
  <si>
    <t>RE134I</t>
  </si>
  <si>
    <t>RA134K</t>
  </si>
  <si>
    <t>RE134K</t>
  </si>
  <si>
    <t>RA134S</t>
  </si>
  <si>
    <t>RE134S</t>
  </si>
  <si>
    <t>RA134T</t>
  </si>
  <si>
    <t>RE134T</t>
  </si>
  <si>
    <t>DB68F</t>
  </si>
  <si>
    <t>DF68F</t>
  </si>
  <si>
    <t>DB68G</t>
  </si>
  <si>
    <t>DF68G</t>
  </si>
  <si>
    <t>DB68H</t>
  </si>
  <si>
    <t>DF68H</t>
  </si>
  <si>
    <t>DB68N</t>
  </si>
  <si>
    <t>DF68N</t>
  </si>
  <si>
    <t>DB68Y</t>
  </si>
  <si>
    <t>DF68Y</t>
  </si>
  <si>
    <t>SC19C</t>
  </si>
  <si>
    <t>SG19C</t>
  </si>
  <si>
    <t>SC19F</t>
  </si>
  <si>
    <t>SG19F</t>
  </si>
  <si>
    <t>SC19L</t>
  </si>
  <si>
    <t>SG19L</t>
  </si>
  <si>
    <t>SC19P</t>
  </si>
  <si>
    <t>SG19P</t>
  </si>
  <si>
    <t>SC19Y</t>
  </si>
  <si>
    <t>SG19Y</t>
  </si>
  <si>
    <t>RC29P</t>
  </si>
  <si>
    <t>RG29P</t>
  </si>
  <si>
    <t>RC29Q</t>
  </si>
  <si>
    <t>RG29Q</t>
  </si>
  <si>
    <t>RC29L</t>
  </si>
  <si>
    <t>RG29L</t>
  </si>
  <si>
    <t>GC37C</t>
  </si>
  <si>
    <t>GG37C</t>
  </si>
  <si>
    <t>GC37D</t>
  </si>
  <si>
    <t>GG37D</t>
  </si>
  <si>
    <t>GC37S</t>
  </si>
  <si>
    <t>GG37S</t>
  </si>
  <si>
    <t>GC37V</t>
  </si>
  <si>
    <t>GG37V</t>
  </si>
  <si>
    <t>EC56A</t>
  </si>
  <si>
    <t>EG56A</t>
  </si>
  <si>
    <t>EC56D</t>
  </si>
  <si>
    <t>EG56D</t>
  </si>
  <si>
    <t>EC56G</t>
  </si>
  <si>
    <t>EG56G</t>
  </si>
  <si>
    <t>EC56K</t>
  </si>
  <si>
    <t>EG56K</t>
  </si>
  <si>
    <t>EC56Q</t>
  </si>
  <si>
    <t>EG56Q</t>
  </si>
  <si>
    <t>KC74E</t>
  </si>
  <si>
    <t>KG74E</t>
  </si>
  <si>
    <t>KC74N</t>
  </si>
  <si>
    <t>KG74N</t>
  </si>
  <si>
    <t>KC74R</t>
  </si>
  <si>
    <t>KG74R</t>
  </si>
  <si>
    <t>ED35A</t>
  </si>
  <si>
    <t>EH35A</t>
  </si>
  <si>
    <t>ED35D</t>
  </si>
  <si>
    <t>EH35D</t>
  </si>
  <si>
    <t>ED35K</t>
  </si>
  <si>
    <t>EH35K</t>
  </si>
  <si>
    <t>SD36C</t>
  </si>
  <si>
    <t>SH36C</t>
  </si>
  <si>
    <t>SD36N</t>
  </si>
  <si>
    <t>SH36N</t>
  </si>
  <si>
    <t>SD36R</t>
  </si>
  <si>
    <t>SH36R</t>
  </si>
  <si>
    <t>GD53A</t>
  </si>
  <si>
    <t>GH53A</t>
  </si>
  <si>
    <t>GD53C</t>
  </si>
  <si>
    <t>GH53C</t>
  </si>
  <si>
    <t>GD53D</t>
  </si>
  <si>
    <t>GH53D</t>
  </si>
  <si>
    <t>GD53R</t>
  </si>
  <si>
    <t>GH53R</t>
  </si>
  <si>
    <t>GD53S</t>
  </si>
  <si>
    <t>GH53S</t>
  </si>
  <si>
    <t>DD68G</t>
  </si>
  <si>
    <t>DH68G</t>
  </si>
  <si>
    <t>DD68H</t>
  </si>
  <si>
    <t>DH68H</t>
  </si>
  <si>
    <t>DD68N</t>
  </si>
  <si>
    <t>DH68N</t>
  </si>
  <si>
    <t>FD70C</t>
  </si>
  <si>
    <t>FH70C</t>
  </si>
  <si>
    <t>FD70L</t>
  </si>
  <si>
    <t>FH70L</t>
  </si>
  <si>
    <t>FD70S</t>
  </si>
  <si>
    <t>FH70S</t>
  </si>
  <si>
    <t>ED71K</t>
  </si>
  <si>
    <t>EH71K</t>
  </si>
  <si>
    <t>ED71Q</t>
  </si>
  <si>
    <t>EH71Q</t>
  </si>
  <si>
    <t>ED76K</t>
  </si>
  <si>
    <t>EH76K</t>
  </si>
  <si>
    <t>ED76Q</t>
  </si>
  <si>
    <t>EH76Q</t>
  </si>
  <si>
    <t>TD88A</t>
  </si>
  <si>
    <t>TH88A</t>
  </si>
  <si>
    <t>TD88I</t>
  </si>
  <si>
    <t>TH88I</t>
  </si>
  <si>
    <t>TD88N</t>
  </si>
  <si>
    <t>TH88N</t>
  </si>
  <si>
    <t>TD88S</t>
  </si>
  <si>
    <t>TH88S</t>
  </si>
  <si>
    <t>ED93D</t>
  </si>
  <si>
    <t>EH93D</t>
  </si>
  <si>
    <t>ED93K</t>
  </si>
  <si>
    <t>EH93K</t>
  </si>
  <si>
    <t>ED93Q</t>
  </si>
  <si>
    <t>EH93Q</t>
  </si>
  <si>
    <t>GD104E</t>
  </si>
  <si>
    <t>GH104E</t>
  </si>
  <si>
    <t>GD104R</t>
  </si>
  <si>
    <t>GH104R</t>
  </si>
  <si>
    <t>GD104W</t>
  </si>
  <si>
    <t>GH104W</t>
  </si>
  <si>
    <t>ED113D</t>
  </si>
  <si>
    <t>EH113D</t>
  </si>
  <si>
    <t>ED113K</t>
  </si>
  <si>
    <t>EH113K</t>
  </si>
  <si>
    <t>ED113Q</t>
  </si>
  <si>
    <t>EH113Q</t>
  </si>
  <si>
    <t>histone</t>
  </si>
  <si>
    <t>frequency</t>
  </si>
  <si>
    <t>RDE-network</t>
  </si>
  <si>
    <t>PPI</t>
  </si>
  <si>
    <t>H2A</t>
  </si>
  <si>
    <t>H2B</t>
  </si>
  <si>
    <t>H3</t>
  </si>
  <si>
    <t>H4</t>
  </si>
  <si>
    <t>GeoStab</t>
  </si>
  <si>
    <t>avergae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</si>
</sst>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charset val="134"/>
      <scheme val="minor"/>
    </font>
    <font>
      <sz val="14"/>
      <color theme="1"/>
      <name val="Calibri"/>
      <family val="2"/>
    </font>
    <font>
      <sz val="14"/>
      <color rgb="FF212529"/>
      <name val="Calibri"/>
      <family val="2"/>
    </font>
    <font>
      <sz val="14"/>
      <name val="Calibri"/>
      <family val="2"/>
    </font>
    <font>
      <i/>
      <sz val="14"/>
      <name val="Calibri"/>
      <family val="2"/>
    </font>
    <font>
      <sz val="14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3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opLeftCell="A55" workbookViewId="0">
      <selection activeCell="K81" sqref="K81"/>
    </sheetView>
  </sheetViews>
  <sheetFormatPr defaultColWidth="9" defaultRowHeight="18.75" x14ac:dyDescent="0.2"/>
  <cols>
    <col min="1" max="1" width="8" style="5" customWidth="1"/>
    <col min="2" max="2" width="6.75" style="5" customWidth="1"/>
    <col min="3" max="3" width="11.875" style="5" customWidth="1"/>
    <col min="4" max="4" width="10.5" style="5" customWidth="1"/>
    <col min="5" max="5" width="13.25" style="5" customWidth="1"/>
    <col min="6" max="6" width="8" style="5" customWidth="1"/>
    <col min="7" max="7" width="11.875" style="5" customWidth="1"/>
    <col min="8" max="8" width="10.5" style="5" customWidth="1"/>
    <col min="9" max="9" width="13.25" style="5" customWidth="1"/>
    <col min="10" max="10" width="16.125" style="3" customWidth="1"/>
    <col min="11" max="11" width="10.5" style="3" customWidth="1"/>
  </cols>
  <sheetData>
    <row r="1" spans="1:1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0</v>
      </c>
      <c r="G1" s="5" t="s">
        <v>2</v>
      </c>
      <c r="H1" s="5" t="s">
        <v>3</v>
      </c>
      <c r="I1" s="5" t="s">
        <v>4</v>
      </c>
      <c r="J1" s="7" t="s">
        <v>5</v>
      </c>
      <c r="K1" s="7" t="s">
        <v>6</v>
      </c>
    </row>
    <row r="2" spans="1:11" x14ac:dyDescent="0.2">
      <c r="A2" s="5" t="s">
        <v>7</v>
      </c>
      <c r="B2" s="5">
        <v>40</v>
      </c>
      <c r="C2" s="5" t="s">
        <v>8</v>
      </c>
      <c r="D2" s="5" t="str">
        <f t="shared" ref="D2:D65" si="0">A2&amp;" "&amp;C2</f>
        <v>A R40C</v>
      </c>
      <c r="E2" s="5">
        <v>-8.2000000000000003E-2</v>
      </c>
      <c r="F2" s="5" t="s">
        <v>9</v>
      </c>
      <c r="G2" s="5" t="s">
        <v>8</v>
      </c>
      <c r="H2" s="5" t="str">
        <f t="shared" ref="H2:H65" si="1">F2&amp;" "&amp;G2</f>
        <v>E R40C</v>
      </c>
      <c r="I2" s="5">
        <v>-9.0999999999999998E-2</v>
      </c>
      <c r="J2" s="3">
        <f t="shared" ref="J2:J65" si="2">AVERAGE(E2,I2)</f>
        <v>-8.6499999999999994E-2</v>
      </c>
      <c r="K2" s="3">
        <f t="shared" ref="K2:K65" si="3">-J2</f>
        <v>8.6499999999999994E-2</v>
      </c>
    </row>
    <row r="3" spans="1:11" x14ac:dyDescent="0.2">
      <c r="A3" s="5" t="s">
        <v>7</v>
      </c>
      <c r="B3" s="5">
        <v>40</v>
      </c>
      <c r="C3" s="5" t="s">
        <v>10</v>
      </c>
      <c r="D3" s="5" t="str">
        <f t="shared" si="0"/>
        <v>A R40G</v>
      </c>
      <c r="E3" s="5">
        <v>-0.19400000000000001</v>
      </c>
      <c r="F3" s="5" t="s">
        <v>9</v>
      </c>
      <c r="G3" s="5" t="s">
        <v>10</v>
      </c>
      <c r="H3" s="5" t="str">
        <f t="shared" si="1"/>
        <v>E R40G</v>
      </c>
      <c r="I3" s="5">
        <v>-0.25800000000000001</v>
      </c>
      <c r="J3" s="3">
        <f t="shared" si="2"/>
        <v>-0.22600000000000001</v>
      </c>
      <c r="K3" s="3">
        <f t="shared" si="3"/>
        <v>0.22600000000000001</v>
      </c>
    </row>
    <row r="4" spans="1:11" x14ac:dyDescent="0.2">
      <c r="A4" s="5" t="s">
        <v>7</v>
      </c>
      <c r="B4" s="5">
        <v>40</v>
      </c>
      <c r="C4" s="5" t="s">
        <v>11</v>
      </c>
      <c r="D4" s="5" t="str">
        <f t="shared" si="0"/>
        <v>A R40S</v>
      </c>
      <c r="E4" s="5">
        <v>-8.4000000000000005E-2</v>
      </c>
      <c r="F4" s="5" t="s">
        <v>9</v>
      </c>
      <c r="G4" s="5" t="s">
        <v>11</v>
      </c>
      <c r="H4" s="5" t="str">
        <f t="shared" si="1"/>
        <v>E R40S</v>
      </c>
      <c r="I4" s="5">
        <v>-9.1999999999999998E-2</v>
      </c>
      <c r="J4" s="3">
        <f t="shared" si="2"/>
        <v>-8.7999999999999995E-2</v>
      </c>
      <c r="K4" s="3">
        <f t="shared" si="3"/>
        <v>8.7999999999999995E-2</v>
      </c>
    </row>
    <row r="5" spans="1:11" x14ac:dyDescent="0.2">
      <c r="A5" s="5" t="s">
        <v>7</v>
      </c>
      <c r="B5" s="5">
        <v>50</v>
      </c>
      <c r="C5" s="5" t="s">
        <v>12</v>
      </c>
      <c r="D5" s="5" t="str">
        <f t="shared" si="0"/>
        <v>A E50D</v>
      </c>
      <c r="E5" s="5">
        <v>-0.29699999999999999</v>
      </c>
      <c r="F5" s="5" t="s">
        <v>9</v>
      </c>
      <c r="G5" s="5" t="s">
        <v>12</v>
      </c>
      <c r="H5" s="5" t="str">
        <f t="shared" si="1"/>
        <v>E E50D</v>
      </c>
      <c r="I5" s="5">
        <v>-1.1060000000000001</v>
      </c>
      <c r="J5" s="3">
        <f t="shared" si="2"/>
        <v>-0.70150000000000001</v>
      </c>
      <c r="K5" s="3">
        <f t="shared" si="3"/>
        <v>0.70150000000000001</v>
      </c>
    </row>
    <row r="6" spans="1:11" x14ac:dyDescent="0.2">
      <c r="A6" s="5" t="s">
        <v>7</v>
      </c>
      <c r="B6" s="5">
        <v>50</v>
      </c>
      <c r="C6" s="5" t="s">
        <v>13</v>
      </c>
      <c r="D6" s="5" t="str">
        <f t="shared" si="0"/>
        <v>A E50G</v>
      </c>
      <c r="E6" s="5">
        <v>-2.0510000000000002</v>
      </c>
      <c r="F6" s="5" t="s">
        <v>9</v>
      </c>
      <c r="G6" s="5" t="s">
        <v>13</v>
      </c>
      <c r="H6" s="5" t="str">
        <f t="shared" si="1"/>
        <v>E E50G</v>
      </c>
      <c r="I6" s="5">
        <v>-2.36</v>
      </c>
      <c r="J6" s="3">
        <f t="shared" si="2"/>
        <v>-2.2054999999999998</v>
      </c>
      <c r="K6" s="3">
        <f t="shared" si="3"/>
        <v>2.2054999999999998</v>
      </c>
    </row>
    <row r="7" spans="1:11" x14ac:dyDescent="0.2">
      <c r="A7" s="5" t="s">
        <v>7</v>
      </c>
      <c r="B7" s="5">
        <v>50</v>
      </c>
      <c r="C7" s="5" t="s">
        <v>14</v>
      </c>
      <c r="D7" s="5" t="str">
        <f t="shared" si="0"/>
        <v>A E50K</v>
      </c>
      <c r="E7" s="5">
        <v>-2.1160000000000001</v>
      </c>
      <c r="F7" s="5" t="s">
        <v>9</v>
      </c>
      <c r="G7" s="5" t="s">
        <v>14</v>
      </c>
      <c r="H7" s="5" t="str">
        <f t="shared" si="1"/>
        <v>E E50K</v>
      </c>
      <c r="I7" s="5">
        <v>-2.8959999999999999</v>
      </c>
      <c r="J7" s="3">
        <f t="shared" si="2"/>
        <v>-2.5059999999999998</v>
      </c>
      <c r="K7" s="3">
        <f t="shared" si="3"/>
        <v>2.5059999999999998</v>
      </c>
    </row>
    <row r="8" spans="1:11" x14ac:dyDescent="0.2">
      <c r="A8" s="5" t="s">
        <v>7</v>
      </c>
      <c r="B8" s="5">
        <v>50</v>
      </c>
      <c r="C8" s="5" t="s">
        <v>15</v>
      </c>
      <c r="D8" s="5" t="str">
        <f t="shared" si="0"/>
        <v>A E50Q</v>
      </c>
      <c r="E8" s="5">
        <v>-1.863</v>
      </c>
      <c r="F8" s="5" t="s">
        <v>9</v>
      </c>
      <c r="G8" s="5" t="s">
        <v>15</v>
      </c>
      <c r="H8" s="5" t="str">
        <f t="shared" si="1"/>
        <v>E E50Q</v>
      </c>
      <c r="I8" s="5">
        <v>-1.9670000000000001</v>
      </c>
      <c r="J8" s="3">
        <f t="shared" si="2"/>
        <v>-1.915</v>
      </c>
      <c r="K8" s="3">
        <f t="shared" si="3"/>
        <v>1.915</v>
      </c>
    </row>
    <row r="9" spans="1:11" x14ac:dyDescent="0.2">
      <c r="A9" s="5" t="s">
        <v>7</v>
      </c>
      <c r="B9" s="5">
        <v>52</v>
      </c>
      <c r="C9" s="5" t="s">
        <v>16</v>
      </c>
      <c r="D9" s="5" t="str">
        <f t="shared" si="0"/>
        <v>A R52C</v>
      </c>
      <c r="E9" s="5">
        <v>-0.127</v>
      </c>
      <c r="F9" s="5" t="s">
        <v>9</v>
      </c>
      <c r="G9" s="5" t="s">
        <v>16</v>
      </c>
      <c r="H9" s="5" t="str">
        <f t="shared" si="1"/>
        <v>E R52C</v>
      </c>
      <c r="I9" s="5">
        <v>-0.126</v>
      </c>
      <c r="J9" s="3">
        <f t="shared" si="2"/>
        <v>-0.1265</v>
      </c>
      <c r="K9" s="3">
        <f t="shared" si="3"/>
        <v>0.1265</v>
      </c>
    </row>
    <row r="10" spans="1:11" x14ac:dyDescent="0.2">
      <c r="A10" s="5" t="s">
        <v>7</v>
      </c>
      <c r="B10" s="5">
        <v>52</v>
      </c>
      <c r="C10" s="5" t="s">
        <v>17</v>
      </c>
      <c r="D10" s="5" t="str">
        <f t="shared" si="0"/>
        <v>A R52H</v>
      </c>
      <c r="E10" s="5">
        <v>-0.185</v>
      </c>
      <c r="F10" s="5" t="s">
        <v>9</v>
      </c>
      <c r="G10" s="5" t="s">
        <v>17</v>
      </c>
      <c r="H10" s="5" t="str">
        <f t="shared" si="1"/>
        <v>E R52H</v>
      </c>
      <c r="I10" s="5">
        <v>-0.20899999999999999</v>
      </c>
      <c r="J10" s="3">
        <f t="shared" si="2"/>
        <v>-0.19700000000000001</v>
      </c>
      <c r="K10" s="3">
        <f t="shared" si="3"/>
        <v>0.19700000000000001</v>
      </c>
    </row>
    <row r="11" spans="1:11" x14ac:dyDescent="0.2">
      <c r="A11" s="5" t="s">
        <v>7</v>
      </c>
      <c r="B11" s="5">
        <v>52</v>
      </c>
      <c r="C11" s="5" t="s">
        <v>18</v>
      </c>
      <c r="D11" s="5" t="str">
        <f t="shared" si="0"/>
        <v>A R52L</v>
      </c>
      <c r="E11" s="5">
        <v>-9.6000000000000002E-2</v>
      </c>
      <c r="F11" s="5" t="s">
        <v>9</v>
      </c>
      <c r="G11" s="5" t="s">
        <v>18</v>
      </c>
      <c r="H11" s="5" t="str">
        <f t="shared" si="1"/>
        <v>E R52L</v>
      </c>
      <c r="I11" s="5">
        <v>-0.11899999999999999</v>
      </c>
      <c r="J11" s="3">
        <f t="shared" si="2"/>
        <v>-0.1075</v>
      </c>
      <c r="K11" s="3">
        <f t="shared" si="3"/>
        <v>0.1075</v>
      </c>
    </row>
    <row r="12" spans="1:11" x14ac:dyDescent="0.2">
      <c r="A12" s="5" t="s">
        <v>7</v>
      </c>
      <c r="B12" s="5">
        <v>52</v>
      </c>
      <c r="C12" s="5" t="s">
        <v>19</v>
      </c>
      <c r="D12" s="5" t="str">
        <f t="shared" si="0"/>
        <v>A R52P</v>
      </c>
      <c r="E12" s="5">
        <v>-0.505</v>
      </c>
      <c r="F12" s="5" t="s">
        <v>9</v>
      </c>
      <c r="G12" s="5" t="s">
        <v>19</v>
      </c>
      <c r="H12" s="5" t="str">
        <f t="shared" si="1"/>
        <v>E R52P</v>
      </c>
      <c r="I12" s="5">
        <v>-0.58599999999999997</v>
      </c>
      <c r="J12" s="3">
        <f t="shared" si="2"/>
        <v>-0.54549999999999998</v>
      </c>
      <c r="K12" s="3">
        <f t="shared" si="3"/>
        <v>0.54549999999999998</v>
      </c>
    </row>
    <row r="13" spans="1:11" x14ac:dyDescent="0.2">
      <c r="A13" s="5" t="s">
        <v>7</v>
      </c>
      <c r="B13" s="5">
        <v>72</v>
      </c>
      <c r="C13" s="5" t="s">
        <v>20</v>
      </c>
      <c r="D13" s="5" t="str">
        <f t="shared" si="0"/>
        <v>A R72C</v>
      </c>
      <c r="E13" s="5">
        <v>-0.19900000000000001</v>
      </c>
      <c r="F13" s="5" t="s">
        <v>9</v>
      </c>
      <c r="G13" s="5" t="s">
        <v>20</v>
      </c>
      <c r="H13" s="5" t="str">
        <f t="shared" si="1"/>
        <v>E R72C</v>
      </c>
      <c r="I13" s="5">
        <v>-0.153</v>
      </c>
      <c r="J13" s="3">
        <f t="shared" si="2"/>
        <v>-0.17599999999999999</v>
      </c>
      <c r="K13" s="3">
        <f t="shared" si="3"/>
        <v>0.17599999999999999</v>
      </c>
    </row>
    <row r="14" spans="1:11" x14ac:dyDescent="0.2">
      <c r="A14" s="5" t="s">
        <v>7</v>
      </c>
      <c r="B14" s="5">
        <v>72</v>
      </c>
      <c r="C14" s="5" t="s">
        <v>21</v>
      </c>
      <c r="D14" s="5" t="str">
        <f t="shared" si="0"/>
        <v>A R72L</v>
      </c>
      <c r="E14" s="5">
        <v>-0.20100000000000001</v>
      </c>
      <c r="F14" s="5" t="s">
        <v>9</v>
      </c>
      <c r="G14" s="5" t="s">
        <v>21</v>
      </c>
      <c r="H14" s="5" t="str">
        <f t="shared" si="1"/>
        <v>E R72L</v>
      </c>
      <c r="I14" s="5">
        <v>-0.13300000000000001</v>
      </c>
      <c r="J14" s="3">
        <f t="shared" si="2"/>
        <v>-0.16700000000000001</v>
      </c>
      <c r="K14" s="3">
        <f t="shared" si="3"/>
        <v>0.16700000000000001</v>
      </c>
    </row>
    <row r="15" spans="1:11" x14ac:dyDescent="0.2">
      <c r="A15" s="5" t="s">
        <v>7</v>
      </c>
      <c r="B15" s="5">
        <v>72</v>
      </c>
      <c r="C15" s="5" t="s">
        <v>22</v>
      </c>
      <c r="D15" s="5" t="str">
        <f t="shared" si="0"/>
        <v>A R72M</v>
      </c>
      <c r="E15" s="5">
        <v>-0.17499999999999999</v>
      </c>
      <c r="F15" s="5" t="s">
        <v>9</v>
      </c>
      <c r="G15" s="5" t="s">
        <v>22</v>
      </c>
      <c r="H15" s="5" t="str">
        <f t="shared" si="1"/>
        <v>E R72M</v>
      </c>
      <c r="I15" s="5">
        <v>-0.16800000000000001</v>
      </c>
      <c r="J15" s="3">
        <f t="shared" si="2"/>
        <v>-0.17150000000000001</v>
      </c>
      <c r="K15" s="3">
        <f t="shared" si="3"/>
        <v>0.17150000000000001</v>
      </c>
    </row>
    <row r="16" spans="1:11" x14ac:dyDescent="0.2">
      <c r="A16" s="5" t="s">
        <v>7</v>
      </c>
      <c r="B16" s="5">
        <v>72</v>
      </c>
      <c r="C16" s="5" t="s">
        <v>23</v>
      </c>
      <c r="D16" s="5" t="str">
        <f t="shared" si="0"/>
        <v>A R72P</v>
      </c>
      <c r="E16" s="5">
        <v>-0.81399999999999995</v>
      </c>
      <c r="F16" s="5" t="s">
        <v>9</v>
      </c>
      <c r="G16" s="5" t="s">
        <v>23</v>
      </c>
      <c r="H16" s="5" t="str">
        <f t="shared" si="1"/>
        <v>E R72P</v>
      </c>
      <c r="I16" s="5">
        <v>-0.436</v>
      </c>
      <c r="J16" s="3">
        <f t="shared" si="2"/>
        <v>-0.625</v>
      </c>
      <c r="K16" s="3">
        <f t="shared" si="3"/>
        <v>0.625</v>
      </c>
    </row>
    <row r="17" spans="1:11" x14ac:dyDescent="0.2">
      <c r="A17" s="5" t="s">
        <v>7</v>
      </c>
      <c r="B17" s="5">
        <v>72</v>
      </c>
      <c r="C17" s="5" t="s">
        <v>24</v>
      </c>
      <c r="D17" s="5" t="str">
        <f t="shared" si="0"/>
        <v>A R72Q</v>
      </c>
      <c r="E17" s="5">
        <v>-0.22700000000000001</v>
      </c>
      <c r="F17" s="5" t="s">
        <v>9</v>
      </c>
      <c r="G17" s="5" t="s">
        <v>24</v>
      </c>
      <c r="H17" s="5" t="str">
        <f t="shared" si="1"/>
        <v>E R72Q</v>
      </c>
      <c r="I17" s="5">
        <v>-0.16</v>
      </c>
      <c r="J17" s="3">
        <f t="shared" si="2"/>
        <v>-0.19350000000000001</v>
      </c>
      <c r="K17" s="3">
        <f t="shared" si="3"/>
        <v>0.19350000000000001</v>
      </c>
    </row>
    <row r="18" spans="1:11" x14ac:dyDescent="0.2">
      <c r="A18" s="5" t="s">
        <v>7</v>
      </c>
      <c r="B18" s="5">
        <v>73</v>
      </c>
      <c r="C18" s="5" t="s">
        <v>25</v>
      </c>
      <c r="D18" s="5" t="str">
        <f t="shared" si="0"/>
        <v>A E73D</v>
      </c>
      <c r="E18" s="5">
        <v>-0.187</v>
      </c>
      <c r="F18" s="5" t="s">
        <v>9</v>
      </c>
      <c r="G18" s="5" t="s">
        <v>25</v>
      </c>
      <c r="H18" s="5" t="str">
        <f t="shared" si="1"/>
        <v>E E73D</v>
      </c>
      <c r="I18" s="5">
        <v>-0.44500000000000001</v>
      </c>
      <c r="J18" s="3">
        <f t="shared" si="2"/>
        <v>-0.316</v>
      </c>
      <c r="K18" s="3">
        <f t="shared" si="3"/>
        <v>0.316</v>
      </c>
    </row>
    <row r="19" spans="1:11" x14ac:dyDescent="0.2">
      <c r="A19" s="5" t="s">
        <v>7</v>
      </c>
      <c r="B19" s="5">
        <v>73</v>
      </c>
      <c r="C19" s="5" t="s">
        <v>26</v>
      </c>
      <c r="D19" s="5" t="str">
        <f t="shared" si="0"/>
        <v>A E73K</v>
      </c>
      <c r="E19" s="5">
        <v>-0.42199999999999999</v>
      </c>
      <c r="F19" s="5" t="s">
        <v>9</v>
      </c>
      <c r="G19" s="5" t="s">
        <v>26</v>
      </c>
      <c r="H19" s="5" t="str">
        <f t="shared" si="1"/>
        <v>E E73K</v>
      </c>
      <c r="I19" s="5">
        <v>-0.63400000000000001</v>
      </c>
      <c r="J19" s="3">
        <f t="shared" si="2"/>
        <v>-0.52800000000000002</v>
      </c>
      <c r="K19" s="3">
        <f t="shared" si="3"/>
        <v>0.52800000000000002</v>
      </c>
    </row>
    <row r="20" spans="1:11" x14ac:dyDescent="0.2">
      <c r="A20" s="5" t="s">
        <v>7</v>
      </c>
      <c r="B20" s="5">
        <v>73</v>
      </c>
      <c r="C20" s="5" t="s">
        <v>27</v>
      </c>
      <c r="D20" s="5" t="str">
        <f t="shared" si="0"/>
        <v>A E73Q</v>
      </c>
      <c r="E20" s="5">
        <v>-0.30199999999999999</v>
      </c>
      <c r="F20" s="5" t="s">
        <v>9</v>
      </c>
      <c r="G20" s="5" t="s">
        <v>27</v>
      </c>
      <c r="H20" s="5" t="str">
        <f t="shared" si="1"/>
        <v>E E73Q</v>
      </c>
      <c r="I20" s="5">
        <v>-0.72699999999999998</v>
      </c>
      <c r="J20" s="3">
        <f t="shared" si="2"/>
        <v>-0.51449999999999996</v>
      </c>
      <c r="K20" s="3">
        <f t="shared" si="3"/>
        <v>0.51449999999999996</v>
      </c>
    </row>
    <row r="21" spans="1:11" x14ac:dyDescent="0.2">
      <c r="A21" s="5" t="s">
        <v>7</v>
      </c>
      <c r="B21" s="5">
        <v>77</v>
      </c>
      <c r="C21" s="5" t="s">
        <v>28</v>
      </c>
      <c r="D21" s="5" t="str">
        <f t="shared" si="0"/>
        <v>A D77E</v>
      </c>
      <c r="E21" s="5">
        <v>-6.7000000000000004E-2</v>
      </c>
      <c r="F21" s="5" t="s">
        <v>9</v>
      </c>
      <c r="G21" s="5" t="s">
        <v>28</v>
      </c>
      <c r="H21" s="5" t="str">
        <f t="shared" si="1"/>
        <v>E D77E</v>
      </c>
      <c r="I21" s="5">
        <v>-0.09</v>
      </c>
      <c r="J21" s="3">
        <f t="shared" si="2"/>
        <v>-7.85E-2</v>
      </c>
      <c r="K21" s="3">
        <f t="shared" si="3"/>
        <v>7.85E-2</v>
      </c>
    </row>
    <row r="22" spans="1:11" x14ac:dyDescent="0.2">
      <c r="A22" s="5" t="s">
        <v>7</v>
      </c>
      <c r="B22" s="5">
        <v>77</v>
      </c>
      <c r="C22" s="5" t="s">
        <v>29</v>
      </c>
      <c r="D22" s="5" t="str">
        <f t="shared" si="0"/>
        <v>A D77H</v>
      </c>
      <c r="E22" s="5">
        <v>-8.6999999999999994E-2</v>
      </c>
      <c r="F22" s="5" t="s">
        <v>9</v>
      </c>
      <c r="G22" s="5" t="s">
        <v>29</v>
      </c>
      <c r="H22" s="5" t="str">
        <f t="shared" si="1"/>
        <v>E D77H</v>
      </c>
      <c r="I22" s="5">
        <v>-0.14000000000000001</v>
      </c>
      <c r="J22" s="3">
        <f t="shared" si="2"/>
        <v>-0.1135</v>
      </c>
      <c r="K22" s="3">
        <f t="shared" si="3"/>
        <v>0.1135</v>
      </c>
    </row>
    <row r="23" spans="1:11" x14ac:dyDescent="0.2">
      <c r="A23" s="5" t="s">
        <v>7</v>
      </c>
      <c r="B23" s="5">
        <v>77</v>
      </c>
      <c r="C23" s="5" t="s">
        <v>30</v>
      </c>
      <c r="D23" s="5" t="str">
        <f t="shared" si="0"/>
        <v>A D77N</v>
      </c>
      <c r="E23" s="6">
        <v>-7.5999999999999998E-2</v>
      </c>
      <c r="F23" s="5" t="s">
        <v>9</v>
      </c>
      <c r="G23" s="5" t="s">
        <v>30</v>
      </c>
      <c r="H23" s="5" t="str">
        <f t="shared" si="1"/>
        <v>E D77N</v>
      </c>
      <c r="I23" s="5">
        <v>-9.4E-2</v>
      </c>
      <c r="J23" s="3">
        <f t="shared" si="2"/>
        <v>-8.5000000000000006E-2</v>
      </c>
      <c r="K23" s="3">
        <f t="shared" si="3"/>
        <v>8.5000000000000006E-2</v>
      </c>
    </row>
    <row r="24" spans="1:11" x14ac:dyDescent="0.2">
      <c r="A24" s="5" t="s">
        <v>7</v>
      </c>
      <c r="B24" s="5">
        <v>77</v>
      </c>
      <c r="C24" s="5" t="s">
        <v>31</v>
      </c>
      <c r="D24" s="5" t="str">
        <f t="shared" si="0"/>
        <v>A D77V</v>
      </c>
      <c r="E24" s="5">
        <v>-0.17499999999999999</v>
      </c>
      <c r="F24" s="5" t="s">
        <v>9</v>
      </c>
      <c r="G24" s="5" t="s">
        <v>31</v>
      </c>
      <c r="H24" s="5" t="str">
        <f t="shared" si="1"/>
        <v>E D77V</v>
      </c>
      <c r="I24" s="5">
        <v>-0.246</v>
      </c>
      <c r="J24" s="3">
        <f t="shared" si="2"/>
        <v>-0.21049999999999999</v>
      </c>
      <c r="K24" s="3">
        <f t="shared" si="3"/>
        <v>0.21049999999999999</v>
      </c>
    </row>
    <row r="25" spans="1:11" x14ac:dyDescent="0.2">
      <c r="A25" s="5" t="s">
        <v>7</v>
      </c>
      <c r="B25" s="5">
        <v>81</v>
      </c>
      <c r="C25" s="5" t="s">
        <v>32</v>
      </c>
      <c r="D25" s="5" t="str">
        <f t="shared" si="0"/>
        <v>A D81E</v>
      </c>
      <c r="E25" s="5">
        <v>-6.2E-2</v>
      </c>
      <c r="F25" s="5" t="s">
        <v>9</v>
      </c>
      <c r="G25" s="5" t="s">
        <v>32</v>
      </c>
      <c r="H25" s="5" t="str">
        <f t="shared" si="1"/>
        <v>E D81E</v>
      </c>
      <c r="I25" s="5">
        <v>-5.8000000000000003E-2</v>
      </c>
      <c r="J25" s="3">
        <f t="shared" si="2"/>
        <v>-0.06</v>
      </c>
      <c r="K25" s="3">
        <f t="shared" si="3"/>
        <v>0.06</v>
      </c>
    </row>
    <row r="26" spans="1:11" x14ac:dyDescent="0.2">
      <c r="A26" s="5" t="s">
        <v>7</v>
      </c>
      <c r="B26" s="5">
        <v>81</v>
      </c>
      <c r="C26" s="5" t="s">
        <v>33</v>
      </c>
      <c r="D26" s="5" t="str">
        <f t="shared" si="0"/>
        <v>A D81H</v>
      </c>
      <c r="E26" s="5">
        <v>-7.0000000000000007E-2</v>
      </c>
      <c r="F26" s="5" t="s">
        <v>9</v>
      </c>
      <c r="G26" s="5" t="s">
        <v>33</v>
      </c>
      <c r="H26" s="5" t="str">
        <f t="shared" si="1"/>
        <v>E D81H</v>
      </c>
      <c r="I26" s="5">
        <v>-6.2E-2</v>
      </c>
      <c r="J26" s="3">
        <f t="shared" si="2"/>
        <v>-6.6000000000000003E-2</v>
      </c>
      <c r="K26" s="3">
        <f t="shared" si="3"/>
        <v>6.6000000000000003E-2</v>
      </c>
    </row>
    <row r="27" spans="1:11" x14ac:dyDescent="0.2">
      <c r="A27" s="5" t="s">
        <v>7</v>
      </c>
      <c r="B27" s="5">
        <v>81</v>
      </c>
      <c r="C27" s="5" t="s">
        <v>34</v>
      </c>
      <c r="D27" s="5" t="str">
        <f t="shared" si="0"/>
        <v>A D81N</v>
      </c>
      <c r="E27" s="5">
        <v>-7.3999999999999996E-2</v>
      </c>
      <c r="F27" s="5" t="s">
        <v>9</v>
      </c>
      <c r="G27" s="5" t="s">
        <v>34</v>
      </c>
      <c r="H27" s="5" t="str">
        <f t="shared" si="1"/>
        <v>E D81N</v>
      </c>
      <c r="I27" s="5">
        <v>-6.6000000000000003E-2</v>
      </c>
      <c r="J27" s="3">
        <f t="shared" si="2"/>
        <v>-7.0000000000000007E-2</v>
      </c>
      <c r="K27" s="3">
        <f t="shared" si="3"/>
        <v>7.0000000000000007E-2</v>
      </c>
    </row>
    <row r="28" spans="1:11" x14ac:dyDescent="0.2">
      <c r="A28" s="5" t="s">
        <v>7</v>
      </c>
      <c r="B28" s="5">
        <v>81</v>
      </c>
      <c r="C28" s="5" t="s">
        <v>35</v>
      </c>
      <c r="D28" s="5" t="str">
        <f t="shared" si="0"/>
        <v>A D81V</v>
      </c>
      <c r="E28" s="5">
        <v>-0.13600000000000001</v>
      </c>
      <c r="F28" s="5" t="s">
        <v>9</v>
      </c>
      <c r="G28" s="5" t="s">
        <v>35</v>
      </c>
      <c r="H28" s="5" t="str">
        <f t="shared" si="1"/>
        <v>E D81V</v>
      </c>
      <c r="I28" s="5">
        <v>-0.11</v>
      </c>
      <c r="J28" s="3">
        <f t="shared" si="2"/>
        <v>-0.123</v>
      </c>
      <c r="K28" s="3">
        <f t="shared" si="3"/>
        <v>0.123</v>
      </c>
    </row>
    <row r="29" spans="1:11" x14ac:dyDescent="0.2">
      <c r="A29" s="5" t="s">
        <v>7</v>
      </c>
      <c r="B29" s="5">
        <v>83</v>
      </c>
      <c r="C29" s="5" t="s">
        <v>36</v>
      </c>
      <c r="D29" s="5" t="str">
        <f t="shared" si="0"/>
        <v>A R83C</v>
      </c>
      <c r="E29" s="5">
        <v>-0.152</v>
      </c>
      <c r="F29" s="5" t="s">
        <v>9</v>
      </c>
      <c r="G29" s="5" t="s">
        <v>36</v>
      </c>
      <c r="H29" s="5" t="str">
        <f t="shared" si="1"/>
        <v>E R83C</v>
      </c>
      <c r="I29" s="5">
        <v>-0.14599999999999999</v>
      </c>
      <c r="J29" s="3">
        <f t="shared" si="2"/>
        <v>-0.14899999999999999</v>
      </c>
      <c r="K29" s="3">
        <f t="shared" si="3"/>
        <v>0.14899999999999999</v>
      </c>
    </row>
    <row r="30" spans="1:11" x14ac:dyDescent="0.2">
      <c r="A30" s="5" t="s">
        <v>7</v>
      </c>
      <c r="B30" s="5">
        <v>83</v>
      </c>
      <c r="C30" s="5" t="s">
        <v>37</v>
      </c>
      <c r="D30" s="5" t="str">
        <f t="shared" si="0"/>
        <v>A R83S</v>
      </c>
      <c r="E30" s="5">
        <v>-0.14399999999999999</v>
      </c>
      <c r="F30" s="5" t="s">
        <v>9</v>
      </c>
      <c r="G30" s="5" t="s">
        <v>37</v>
      </c>
      <c r="H30" s="5" t="str">
        <f t="shared" si="1"/>
        <v>E R83S</v>
      </c>
      <c r="I30" s="5">
        <v>-0.16300000000000001</v>
      </c>
      <c r="J30" s="3">
        <f t="shared" si="2"/>
        <v>-0.1535</v>
      </c>
      <c r="K30" s="3">
        <f t="shared" si="3"/>
        <v>0.1535</v>
      </c>
    </row>
    <row r="31" spans="1:11" x14ac:dyDescent="0.2">
      <c r="A31" s="5" t="s">
        <v>7</v>
      </c>
      <c r="B31" s="5">
        <v>97</v>
      </c>
      <c r="C31" s="5" t="s">
        <v>38</v>
      </c>
      <c r="D31" s="5" t="str">
        <f t="shared" si="0"/>
        <v>A E97K</v>
      </c>
      <c r="E31" s="5">
        <v>-1.843</v>
      </c>
      <c r="F31" s="5" t="s">
        <v>9</v>
      </c>
      <c r="G31" s="5" t="s">
        <v>38</v>
      </c>
      <c r="H31" s="5" t="str">
        <f t="shared" si="1"/>
        <v>E E97K</v>
      </c>
      <c r="I31" s="5">
        <v>-2.0640000000000001</v>
      </c>
      <c r="J31" s="3">
        <f t="shared" si="2"/>
        <v>-1.9535</v>
      </c>
      <c r="K31" s="3">
        <f t="shared" si="3"/>
        <v>1.9535</v>
      </c>
    </row>
    <row r="32" spans="1:11" x14ac:dyDescent="0.2">
      <c r="A32" s="5" t="s">
        <v>7</v>
      </c>
      <c r="B32" s="5">
        <v>97</v>
      </c>
      <c r="C32" s="5" t="s">
        <v>39</v>
      </c>
      <c r="D32" s="5" t="str">
        <f t="shared" si="0"/>
        <v>A E97Q</v>
      </c>
      <c r="E32" s="5">
        <v>-1.4179999999999999</v>
      </c>
      <c r="F32" s="5" t="s">
        <v>9</v>
      </c>
      <c r="G32" s="5" t="s">
        <v>39</v>
      </c>
      <c r="H32" s="5" t="str">
        <f t="shared" si="1"/>
        <v>E E97Q</v>
      </c>
      <c r="I32" s="5">
        <v>-1.3979999999999999</v>
      </c>
      <c r="J32" s="3">
        <f t="shared" si="2"/>
        <v>-1.4079999999999999</v>
      </c>
      <c r="K32" s="3">
        <f t="shared" si="3"/>
        <v>1.4079999999999999</v>
      </c>
    </row>
    <row r="33" spans="1:11" x14ac:dyDescent="0.2">
      <c r="A33" s="5" t="s">
        <v>7</v>
      </c>
      <c r="B33" s="5">
        <v>105</v>
      </c>
      <c r="C33" s="5" t="s">
        <v>40</v>
      </c>
      <c r="D33" s="5" t="str">
        <f t="shared" si="0"/>
        <v>A E105D</v>
      </c>
      <c r="E33" s="5">
        <v>-0.51800000000000002</v>
      </c>
      <c r="F33" s="5" t="s">
        <v>9</v>
      </c>
      <c r="G33" s="5" t="s">
        <v>40</v>
      </c>
      <c r="H33" s="5" t="str">
        <f t="shared" si="1"/>
        <v>E E105D</v>
      </c>
      <c r="I33" s="5">
        <v>-0.53300000000000003</v>
      </c>
      <c r="J33" s="3">
        <f t="shared" si="2"/>
        <v>-0.52549999999999997</v>
      </c>
      <c r="K33" s="3">
        <f t="shared" si="3"/>
        <v>0.52549999999999997</v>
      </c>
    </row>
    <row r="34" spans="1:11" x14ac:dyDescent="0.2">
      <c r="A34" s="5" t="s">
        <v>7</v>
      </c>
      <c r="B34" s="5">
        <v>105</v>
      </c>
      <c r="C34" s="5" t="s">
        <v>41</v>
      </c>
      <c r="D34" s="5" t="str">
        <f t="shared" si="0"/>
        <v>A E105K</v>
      </c>
      <c r="E34" s="5">
        <v>-1.55</v>
      </c>
      <c r="F34" s="5" t="s">
        <v>9</v>
      </c>
      <c r="G34" s="5" t="s">
        <v>41</v>
      </c>
      <c r="H34" s="5" t="str">
        <f t="shared" si="1"/>
        <v>E E105K</v>
      </c>
      <c r="I34" s="5">
        <v>-1.4259999999999999</v>
      </c>
      <c r="J34" s="3">
        <f t="shared" si="2"/>
        <v>-1.488</v>
      </c>
      <c r="K34" s="3">
        <f t="shared" si="3"/>
        <v>1.488</v>
      </c>
    </row>
    <row r="35" spans="1:11" x14ac:dyDescent="0.2">
      <c r="A35" s="5" t="s">
        <v>7</v>
      </c>
      <c r="B35" s="5">
        <v>105</v>
      </c>
      <c r="C35" s="5" t="s">
        <v>42</v>
      </c>
      <c r="D35" s="5" t="str">
        <f t="shared" si="0"/>
        <v>A E105Q</v>
      </c>
      <c r="E35" s="5">
        <v>-0.82</v>
      </c>
      <c r="F35" s="5" t="s">
        <v>9</v>
      </c>
      <c r="G35" s="5" t="s">
        <v>42</v>
      </c>
      <c r="H35" s="5" t="str">
        <f t="shared" si="1"/>
        <v>E E105Q</v>
      </c>
      <c r="I35" s="5">
        <v>-0.95499999999999996</v>
      </c>
      <c r="J35" s="3">
        <f t="shared" si="2"/>
        <v>-0.88749999999999996</v>
      </c>
      <c r="K35" s="3">
        <f t="shared" si="3"/>
        <v>0.88749999999999996</v>
      </c>
    </row>
    <row r="36" spans="1:11" x14ac:dyDescent="0.2">
      <c r="A36" s="5" t="s">
        <v>7</v>
      </c>
      <c r="B36" s="5">
        <v>105</v>
      </c>
      <c r="C36" s="5" t="s">
        <v>43</v>
      </c>
      <c r="D36" s="5" t="str">
        <f t="shared" si="0"/>
        <v>A E105V</v>
      </c>
      <c r="E36" s="5">
        <v>-0.76600000000000001</v>
      </c>
      <c r="F36" s="5" t="s">
        <v>9</v>
      </c>
      <c r="G36" s="5" t="s">
        <v>43</v>
      </c>
      <c r="H36" s="5" t="str">
        <f t="shared" si="1"/>
        <v>E E105V</v>
      </c>
      <c r="I36" s="5">
        <v>-0.82299999999999995</v>
      </c>
      <c r="J36" s="3">
        <f t="shared" si="2"/>
        <v>-0.79449999999999998</v>
      </c>
      <c r="K36" s="3">
        <f t="shared" si="3"/>
        <v>0.79449999999999998</v>
      </c>
    </row>
    <row r="37" spans="1:11" x14ac:dyDescent="0.2">
      <c r="A37" s="5" t="s">
        <v>7</v>
      </c>
      <c r="B37" s="5">
        <v>106</v>
      </c>
      <c r="C37" s="5" t="s">
        <v>44</v>
      </c>
      <c r="D37" s="5" t="str">
        <f t="shared" si="0"/>
        <v>A D106H</v>
      </c>
      <c r="E37" s="5">
        <v>-1.5</v>
      </c>
      <c r="F37" s="5" t="s">
        <v>9</v>
      </c>
      <c r="G37" s="5" t="s">
        <v>44</v>
      </c>
      <c r="H37" s="5" t="str">
        <f t="shared" si="1"/>
        <v>E D106H</v>
      </c>
      <c r="I37" s="5">
        <v>-1.2190000000000001</v>
      </c>
      <c r="J37" s="3">
        <f t="shared" si="2"/>
        <v>-1.3594999999999999</v>
      </c>
      <c r="K37" s="3">
        <f t="shared" si="3"/>
        <v>1.3594999999999999</v>
      </c>
    </row>
    <row r="38" spans="1:11" x14ac:dyDescent="0.2">
      <c r="A38" s="5" t="s">
        <v>7</v>
      </c>
      <c r="B38" s="5">
        <v>106</v>
      </c>
      <c r="C38" s="5" t="s">
        <v>45</v>
      </c>
      <c r="D38" s="5" t="str">
        <f t="shared" si="0"/>
        <v>A D106N</v>
      </c>
      <c r="E38" s="5">
        <v>-1.0840000000000001</v>
      </c>
      <c r="F38" s="5" t="s">
        <v>9</v>
      </c>
      <c r="G38" s="5" t="s">
        <v>45</v>
      </c>
      <c r="H38" s="5" t="str">
        <f t="shared" si="1"/>
        <v>E D106N</v>
      </c>
      <c r="I38" s="5">
        <v>-1.1719999999999999</v>
      </c>
      <c r="J38" s="3">
        <f t="shared" si="2"/>
        <v>-1.1279999999999999</v>
      </c>
      <c r="K38" s="3">
        <f t="shared" si="3"/>
        <v>1.1279999999999999</v>
      </c>
    </row>
    <row r="39" spans="1:11" x14ac:dyDescent="0.2">
      <c r="A39" s="5" t="s">
        <v>7</v>
      </c>
      <c r="B39" s="5">
        <v>106</v>
      </c>
      <c r="C39" s="5" t="s">
        <v>46</v>
      </c>
      <c r="D39" s="5" t="str">
        <f t="shared" si="0"/>
        <v>A D106Y</v>
      </c>
      <c r="E39" s="5">
        <v>-1.643</v>
      </c>
      <c r="F39" s="5" t="s">
        <v>9</v>
      </c>
      <c r="G39" s="5" t="s">
        <v>46</v>
      </c>
      <c r="H39" s="5" t="str">
        <f t="shared" si="1"/>
        <v>E D106Y</v>
      </c>
      <c r="I39" s="5">
        <v>-1.2589999999999999</v>
      </c>
      <c r="J39" s="3">
        <f t="shared" si="2"/>
        <v>-1.4510000000000001</v>
      </c>
      <c r="K39" s="3">
        <f t="shared" si="3"/>
        <v>1.4510000000000001</v>
      </c>
    </row>
    <row r="40" spans="1:11" x14ac:dyDescent="0.2">
      <c r="A40" s="5" t="s">
        <v>7</v>
      </c>
      <c r="B40" s="5">
        <v>127</v>
      </c>
      <c r="C40" s="5" t="s">
        <v>47</v>
      </c>
      <c r="D40" s="5" t="str">
        <f t="shared" si="0"/>
        <v>A A127E</v>
      </c>
      <c r="E40" s="5">
        <v>-1.607</v>
      </c>
      <c r="F40" s="5" t="s">
        <v>9</v>
      </c>
      <c r="G40" s="5" t="s">
        <v>47</v>
      </c>
      <c r="H40" s="5" t="str">
        <f t="shared" si="1"/>
        <v>E A127E</v>
      </c>
      <c r="I40" s="5">
        <v>-1.88</v>
      </c>
      <c r="J40" s="3">
        <f t="shared" si="2"/>
        <v>-1.7435</v>
      </c>
      <c r="K40" s="3">
        <f t="shared" si="3"/>
        <v>1.7435</v>
      </c>
    </row>
    <row r="41" spans="1:11" x14ac:dyDescent="0.2">
      <c r="A41" s="5" t="s">
        <v>7</v>
      </c>
      <c r="B41" s="5">
        <v>127</v>
      </c>
      <c r="C41" s="5" t="s">
        <v>48</v>
      </c>
      <c r="D41" s="5" t="str">
        <f t="shared" si="0"/>
        <v>A A127G</v>
      </c>
      <c r="E41" s="5">
        <v>-0.99</v>
      </c>
      <c r="F41" s="5" t="s">
        <v>9</v>
      </c>
      <c r="G41" s="5" t="s">
        <v>48</v>
      </c>
      <c r="H41" s="5" t="str">
        <f t="shared" si="1"/>
        <v>E A127G</v>
      </c>
      <c r="I41" s="5">
        <v>-0.95499999999999996</v>
      </c>
      <c r="J41" s="3">
        <f t="shared" si="2"/>
        <v>-0.97250000000000003</v>
      </c>
      <c r="K41" s="3">
        <f t="shared" si="3"/>
        <v>0.97250000000000003</v>
      </c>
    </row>
    <row r="42" spans="1:11" x14ac:dyDescent="0.2">
      <c r="A42" s="5" t="s">
        <v>7</v>
      </c>
      <c r="B42" s="5">
        <v>127</v>
      </c>
      <c r="C42" s="5" t="s">
        <v>49</v>
      </c>
      <c r="D42" s="5" t="str">
        <f t="shared" si="0"/>
        <v>A A127P</v>
      </c>
      <c r="E42" s="5">
        <v>-2.1739999999999999</v>
      </c>
      <c r="F42" s="5" t="s">
        <v>9</v>
      </c>
      <c r="G42" s="5" t="s">
        <v>49</v>
      </c>
      <c r="H42" s="5" t="str">
        <f t="shared" si="1"/>
        <v>E A127P</v>
      </c>
      <c r="I42" s="5">
        <v>-2.2869999999999999</v>
      </c>
      <c r="J42" s="3">
        <f t="shared" si="2"/>
        <v>-2.2305000000000001</v>
      </c>
      <c r="K42" s="3">
        <f t="shared" si="3"/>
        <v>2.2305000000000001</v>
      </c>
    </row>
    <row r="43" spans="1:11" x14ac:dyDescent="0.2">
      <c r="A43" s="5" t="s">
        <v>7</v>
      </c>
      <c r="B43" s="5">
        <v>127</v>
      </c>
      <c r="C43" s="5" t="s">
        <v>50</v>
      </c>
      <c r="D43" s="5" t="str">
        <f t="shared" si="0"/>
        <v>A A127S</v>
      </c>
      <c r="E43" s="5">
        <v>-0.58499999999999996</v>
      </c>
      <c r="F43" s="5" t="s">
        <v>9</v>
      </c>
      <c r="G43" s="5" t="s">
        <v>50</v>
      </c>
      <c r="H43" s="5" t="str">
        <f t="shared" si="1"/>
        <v>E A127S</v>
      </c>
      <c r="I43" s="5">
        <v>-0.58599999999999997</v>
      </c>
      <c r="J43" s="3">
        <f t="shared" si="2"/>
        <v>-0.58550000000000002</v>
      </c>
      <c r="K43" s="3">
        <f t="shared" si="3"/>
        <v>0.58550000000000002</v>
      </c>
    </row>
    <row r="44" spans="1:11" x14ac:dyDescent="0.2">
      <c r="A44" s="5" t="s">
        <v>7</v>
      </c>
      <c r="B44" s="5">
        <v>127</v>
      </c>
      <c r="C44" s="5" t="s">
        <v>51</v>
      </c>
      <c r="D44" s="5" t="str">
        <f t="shared" si="0"/>
        <v>A A127V</v>
      </c>
      <c r="E44" s="5">
        <v>-0.52700000000000002</v>
      </c>
      <c r="F44" s="5" t="s">
        <v>9</v>
      </c>
      <c r="G44" s="5" t="s">
        <v>51</v>
      </c>
      <c r="H44" s="5" t="str">
        <f t="shared" si="1"/>
        <v>E A127V</v>
      </c>
      <c r="I44" s="5">
        <v>-0.60299999999999998</v>
      </c>
      <c r="J44" s="3">
        <f t="shared" si="2"/>
        <v>-0.56499999999999995</v>
      </c>
      <c r="K44" s="3">
        <f t="shared" si="3"/>
        <v>0.56499999999999995</v>
      </c>
    </row>
    <row r="45" spans="1:11" x14ac:dyDescent="0.2">
      <c r="A45" s="5" t="s">
        <v>7</v>
      </c>
      <c r="B45" s="5">
        <v>131</v>
      </c>
      <c r="C45" s="5" t="s">
        <v>52</v>
      </c>
      <c r="D45" s="5" t="str">
        <f t="shared" si="0"/>
        <v>A R131C</v>
      </c>
      <c r="E45" s="5">
        <v>-0.36599999999999999</v>
      </c>
      <c r="F45" s="5" t="s">
        <v>9</v>
      </c>
      <c r="G45" s="5" t="s">
        <v>52</v>
      </c>
      <c r="H45" s="5" t="str">
        <f t="shared" si="1"/>
        <v>E R131C</v>
      </c>
      <c r="I45" s="5">
        <v>-0.76300000000000001</v>
      </c>
      <c r="J45" s="3">
        <f t="shared" si="2"/>
        <v>-0.5645</v>
      </c>
      <c r="K45" s="3">
        <f t="shared" si="3"/>
        <v>0.5645</v>
      </c>
    </row>
    <row r="46" spans="1:11" x14ac:dyDescent="0.2">
      <c r="A46" s="5" t="s">
        <v>7</v>
      </c>
      <c r="B46" s="5">
        <v>131</v>
      </c>
      <c r="C46" s="5" t="s">
        <v>53</v>
      </c>
      <c r="D46" s="5" t="str">
        <f t="shared" si="0"/>
        <v>A R131G</v>
      </c>
      <c r="E46" s="5">
        <v>-1.4850000000000001</v>
      </c>
      <c r="F46" s="5" t="s">
        <v>9</v>
      </c>
      <c r="G46" s="5" t="s">
        <v>53</v>
      </c>
      <c r="H46" s="5" t="str">
        <f t="shared" si="1"/>
        <v>E R131G</v>
      </c>
      <c r="I46" s="5">
        <v>-1.575</v>
      </c>
      <c r="J46" s="3">
        <f t="shared" si="2"/>
        <v>-1.53</v>
      </c>
      <c r="K46" s="3">
        <f t="shared" si="3"/>
        <v>1.53</v>
      </c>
    </row>
    <row r="47" spans="1:11" x14ac:dyDescent="0.2">
      <c r="A47" s="5" t="s">
        <v>7</v>
      </c>
      <c r="B47" s="5">
        <v>131</v>
      </c>
      <c r="C47" s="5" t="s">
        <v>54</v>
      </c>
      <c r="D47" s="5" t="str">
        <f t="shared" si="0"/>
        <v>A R131H</v>
      </c>
      <c r="E47" s="5">
        <v>-0.22800000000000001</v>
      </c>
      <c r="F47" s="5" t="s">
        <v>9</v>
      </c>
      <c r="G47" s="5" t="s">
        <v>54</v>
      </c>
      <c r="H47" s="5" t="str">
        <f t="shared" si="1"/>
        <v>E R131H</v>
      </c>
      <c r="I47" s="5">
        <v>-0.94199999999999995</v>
      </c>
      <c r="J47" s="3">
        <f t="shared" si="2"/>
        <v>-0.58499999999999996</v>
      </c>
      <c r="K47" s="3">
        <f t="shared" si="3"/>
        <v>0.58499999999999996</v>
      </c>
    </row>
    <row r="48" spans="1:11" x14ac:dyDescent="0.2">
      <c r="A48" s="5" t="s">
        <v>7</v>
      </c>
      <c r="B48" s="5">
        <v>131</v>
      </c>
      <c r="C48" s="5" t="s">
        <v>55</v>
      </c>
      <c r="D48" s="5" t="str">
        <f t="shared" si="0"/>
        <v>A R131P</v>
      </c>
      <c r="E48" s="5">
        <v>-2.798</v>
      </c>
      <c r="F48" s="5" t="s">
        <v>9</v>
      </c>
      <c r="G48" s="5" t="s">
        <v>55</v>
      </c>
      <c r="H48" s="5" t="str">
        <f t="shared" si="1"/>
        <v>E R131P</v>
      </c>
      <c r="I48" s="5">
        <v>-3.222</v>
      </c>
      <c r="J48" s="3">
        <f t="shared" si="2"/>
        <v>-3.01</v>
      </c>
      <c r="K48" s="3">
        <f t="shared" si="3"/>
        <v>3.01</v>
      </c>
    </row>
    <row r="49" spans="1:13" x14ac:dyDescent="0.2">
      <c r="A49" s="5" t="s">
        <v>7</v>
      </c>
      <c r="B49" s="5">
        <v>131</v>
      </c>
      <c r="C49" s="5" t="s">
        <v>56</v>
      </c>
      <c r="D49" s="5" t="str">
        <f t="shared" si="0"/>
        <v>A R131Q</v>
      </c>
      <c r="E49" s="5">
        <v>-0.42</v>
      </c>
      <c r="F49" s="5" t="s">
        <v>9</v>
      </c>
      <c r="G49" s="5" t="s">
        <v>56</v>
      </c>
      <c r="H49" s="5" t="str">
        <f t="shared" si="1"/>
        <v>E R131Q</v>
      </c>
      <c r="I49" s="5">
        <v>-0.995</v>
      </c>
      <c r="J49" s="3">
        <f t="shared" si="2"/>
        <v>-0.70750000000000002</v>
      </c>
      <c r="K49" s="3">
        <f t="shared" si="3"/>
        <v>0.70750000000000002</v>
      </c>
    </row>
    <row r="50" spans="1:13" x14ac:dyDescent="0.2">
      <c r="A50" s="5" t="s">
        <v>7</v>
      </c>
      <c r="B50" s="5">
        <v>133</v>
      </c>
      <c r="C50" s="5" t="s">
        <v>57</v>
      </c>
      <c r="D50" s="5" t="str">
        <f t="shared" si="0"/>
        <v>A E133D</v>
      </c>
      <c r="E50" s="5">
        <v>-0.219</v>
      </c>
      <c r="F50" s="5" t="s">
        <v>9</v>
      </c>
      <c r="G50" s="5" t="s">
        <v>57</v>
      </c>
      <c r="H50" s="5" t="str">
        <f t="shared" si="1"/>
        <v>E E133D</v>
      </c>
      <c r="I50" s="5">
        <v>-0.33</v>
      </c>
      <c r="J50" s="3">
        <f t="shared" si="2"/>
        <v>-0.27450000000000002</v>
      </c>
      <c r="K50" s="3">
        <f t="shared" si="3"/>
        <v>0.27450000000000002</v>
      </c>
    </row>
    <row r="51" spans="1:13" x14ac:dyDescent="0.2">
      <c r="A51" s="5" t="s">
        <v>7</v>
      </c>
      <c r="B51" s="5">
        <v>133</v>
      </c>
      <c r="C51" s="5" t="s">
        <v>58</v>
      </c>
      <c r="D51" s="5" t="str">
        <f t="shared" si="0"/>
        <v>A E133K</v>
      </c>
      <c r="E51" s="5">
        <v>-1.0069999999999999</v>
      </c>
      <c r="F51" s="5" t="s">
        <v>9</v>
      </c>
      <c r="G51" s="5" t="s">
        <v>58</v>
      </c>
      <c r="H51" s="5" t="str">
        <f t="shared" si="1"/>
        <v>E E133K</v>
      </c>
      <c r="I51" s="5">
        <v>-1.4730000000000001</v>
      </c>
      <c r="J51" s="3">
        <f t="shared" si="2"/>
        <v>-1.24</v>
      </c>
      <c r="K51" s="3">
        <f t="shared" si="3"/>
        <v>1.24</v>
      </c>
    </row>
    <row r="52" spans="1:13" x14ac:dyDescent="0.2">
      <c r="A52" s="5" t="s">
        <v>7</v>
      </c>
      <c r="B52" s="5">
        <v>133</v>
      </c>
      <c r="C52" s="5" t="s">
        <v>59</v>
      </c>
      <c r="D52" s="5" t="str">
        <f t="shared" si="0"/>
        <v>A E133Q</v>
      </c>
      <c r="E52" s="5">
        <v>-0.73599999999999999</v>
      </c>
      <c r="F52" s="5" t="s">
        <v>9</v>
      </c>
      <c r="G52" s="5" t="s">
        <v>59</v>
      </c>
      <c r="H52" s="5" t="str">
        <f t="shared" si="1"/>
        <v>E E133Q</v>
      </c>
      <c r="I52" s="5">
        <v>-0.83799999999999997</v>
      </c>
      <c r="J52" s="3">
        <f t="shared" si="2"/>
        <v>-0.78700000000000003</v>
      </c>
      <c r="K52" s="3">
        <f t="shared" si="3"/>
        <v>0.78700000000000003</v>
      </c>
    </row>
    <row r="53" spans="1:13" x14ac:dyDescent="0.2">
      <c r="A53" s="5" t="s">
        <v>7</v>
      </c>
      <c r="B53" s="5">
        <v>134</v>
      </c>
      <c r="C53" s="5" t="s">
        <v>60</v>
      </c>
      <c r="D53" s="5" t="str">
        <f t="shared" si="0"/>
        <v>A R134I</v>
      </c>
      <c r="E53" s="5">
        <v>-0.129</v>
      </c>
      <c r="F53" s="5" t="s">
        <v>9</v>
      </c>
      <c r="G53" s="5" t="s">
        <v>60</v>
      </c>
      <c r="H53" s="5" t="str">
        <f t="shared" si="1"/>
        <v>E R134I</v>
      </c>
      <c r="I53" s="5">
        <v>-7.4999999999999997E-2</v>
      </c>
      <c r="J53" s="3">
        <f t="shared" si="2"/>
        <v>-0.10199999999999999</v>
      </c>
      <c r="K53" s="3">
        <f t="shared" si="3"/>
        <v>0.10199999999999999</v>
      </c>
      <c r="L53" s="8"/>
    </row>
    <row r="54" spans="1:13" x14ac:dyDescent="0.2">
      <c r="A54" s="5" t="s">
        <v>7</v>
      </c>
      <c r="B54" s="5">
        <v>134</v>
      </c>
      <c r="C54" s="5" t="s">
        <v>61</v>
      </c>
      <c r="D54" s="5" t="str">
        <f t="shared" si="0"/>
        <v>A R134K</v>
      </c>
      <c r="E54" s="5">
        <v>-9.1999999999999998E-2</v>
      </c>
      <c r="F54" s="5" t="s">
        <v>9</v>
      </c>
      <c r="G54" s="5" t="s">
        <v>61</v>
      </c>
      <c r="H54" s="5" t="str">
        <f t="shared" si="1"/>
        <v>E R134K</v>
      </c>
      <c r="I54" s="5">
        <v>-8.3000000000000004E-2</v>
      </c>
      <c r="J54" s="3">
        <f t="shared" si="2"/>
        <v>-8.7499999999999994E-2</v>
      </c>
      <c r="K54" s="3">
        <f t="shared" si="3"/>
        <v>8.7499999999999994E-2</v>
      </c>
      <c r="L54" s="8"/>
    </row>
    <row r="55" spans="1:13" x14ac:dyDescent="0.2">
      <c r="A55" s="5" t="s">
        <v>7</v>
      </c>
      <c r="B55" s="5">
        <v>134</v>
      </c>
      <c r="C55" s="5" t="s">
        <v>62</v>
      </c>
      <c r="D55" s="5" t="str">
        <f t="shared" si="0"/>
        <v>A R134S</v>
      </c>
      <c r="E55" s="5">
        <v>-0.15</v>
      </c>
      <c r="F55" s="5" t="s">
        <v>9</v>
      </c>
      <c r="G55" s="5" t="s">
        <v>62</v>
      </c>
      <c r="H55" s="5" t="str">
        <f t="shared" si="1"/>
        <v>E R134S</v>
      </c>
      <c r="I55" s="5">
        <v>-0.14099999999999999</v>
      </c>
      <c r="J55" s="3">
        <f t="shared" si="2"/>
        <v>-0.14549999999999999</v>
      </c>
      <c r="K55" s="3">
        <f t="shared" si="3"/>
        <v>0.14549999999999999</v>
      </c>
      <c r="L55" s="8"/>
      <c r="M55" s="8"/>
    </row>
    <row r="56" spans="1:13" x14ac:dyDescent="0.2">
      <c r="A56" s="5" t="s">
        <v>7</v>
      </c>
      <c r="B56" s="5">
        <v>134</v>
      </c>
      <c r="C56" s="5" t="s">
        <v>63</v>
      </c>
      <c r="D56" s="5" t="str">
        <f t="shared" si="0"/>
        <v>A R134T</v>
      </c>
      <c r="E56" s="5">
        <v>-0.129</v>
      </c>
      <c r="F56" s="5" t="s">
        <v>9</v>
      </c>
      <c r="G56" s="5" t="s">
        <v>63</v>
      </c>
      <c r="H56" s="5" t="str">
        <f t="shared" si="1"/>
        <v>E R134T</v>
      </c>
      <c r="I56" s="5">
        <v>-0.159</v>
      </c>
      <c r="J56" s="3">
        <f t="shared" si="2"/>
        <v>-0.14399999999999999</v>
      </c>
      <c r="K56" s="3">
        <f t="shared" si="3"/>
        <v>0.14399999999999999</v>
      </c>
      <c r="L56" s="8"/>
      <c r="M56" s="8"/>
    </row>
    <row r="57" spans="1:13" x14ac:dyDescent="0.2">
      <c r="A57" s="5" t="s">
        <v>64</v>
      </c>
      <c r="B57" s="5">
        <v>68</v>
      </c>
      <c r="C57" s="5" t="s">
        <v>65</v>
      </c>
      <c r="D57" s="5" t="str">
        <f t="shared" si="0"/>
        <v>B D68F</v>
      </c>
      <c r="E57" s="5">
        <v>-0.505</v>
      </c>
      <c r="F57" s="5" t="s">
        <v>66</v>
      </c>
      <c r="G57" s="5" t="s">
        <v>65</v>
      </c>
      <c r="H57" s="5" t="str">
        <f t="shared" si="1"/>
        <v>F D68F</v>
      </c>
      <c r="I57" s="5">
        <v>-1.5880000000000001</v>
      </c>
      <c r="J57" s="3">
        <f t="shared" si="2"/>
        <v>-1.0465</v>
      </c>
      <c r="K57" s="3">
        <f t="shared" si="3"/>
        <v>1.0465</v>
      </c>
      <c r="L57" s="8"/>
      <c r="M57" s="8"/>
    </row>
    <row r="58" spans="1:13" x14ac:dyDescent="0.2">
      <c r="A58" s="5" t="s">
        <v>64</v>
      </c>
      <c r="B58" s="5">
        <v>68</v>
      </c>
      <c r="C58" s="5" t="s">
        <v>67</v>
      </c>
      <c r="D58" s="5" t="str">
        <f t="shared" si="0"/>
        <v>B D68G</v>
      </c>
      <c r="E58" s="5">
        <v>-1.7390000000000001</v>
      </c>
      <c r="F58" s="5" t="s">
        <v>66</v>
      </c>
      <c r="G58" s="5" t="s">
        <v>67</v>
      </c>
      <c r="H58" s="5" t="str">
        <f t="shared" si="1"/>
        <v>F D68G</v>
      </c>
      <c r="I58" s="5">
        <v>-1.748</v>
      </c>
      <c r="J58" s="3">
        <f t="shared" si="2"/>
        <v>-1.7435</v>
      </c>
      <c r="K58" s="3">
        <f t="shared" si="3"/>
        <v>1.7435</v>
      </c>
      <c r="L58" s="8"/>
      <c r="M58" s="8"/>
    </row>
    <row r="59" spans="1:13" x14ac:dyDescent="0.2">
      <c r="A59" s="5" t="s">
        <v>64</v>
      </c>
      <c r="B59" s="5">
        <v>68</v>
      </c>
      <c r="C59" s="5" t="s">
        <v>68</v>
      </c>
      <c r="D59" s="5" t="str">
        <f t="shared" si="0"/>
        <v>B D68H</v>
      </c>
      <c r="E59" s="5">
        <v>-1.629</v>
      </c>
      <c r="F59" s="5" t="s">
        <v>66</v>
      </c>
      <c r="G59" s="5" t="s">
        <v>68</v>
      </c>
      <c r="H59" s="5" t="str">
        <f t="shared" si="1"/>
        <v>F D68H</v>
      </c>
      <c r="I59" s="5">
        <v>-1.8879999999999999</v>
      </c>
      <c r="J59" s="3">
        <f t="shared" si="2"/>
        <v>-1.7585</v>
      </c>
      <c r="K59" s="3">
        <f t="shared" si="3"/>
        <v>1.7585</v>
      </c>
      <c r="L59" s="8"/>
      <c r="M59" s="8"/>
    </row>
    <row r="60" spans="1:13" x14ac:dyDescent="0.2">
      <c r="A60" s="5" t="s">
        <v>64</v>
      </c>
      <c r="B60" s="5">
        <v>68</v>
      </c>
      <c r="C60" s="5" t="s">
        <v>69</v>
      </c>
      <c r="D60" s="5" t="str">
        <f t="shared" si="0"/>
        <v>B D68N</v>
      </c>
      <c r="E60" s="5">
        <v>-1.3779999999999999</v>
      </c>
      <c r="F60" s="5" t="s">
        <v>66</v>
      </c>
      <c r="G60" s="5" t="s">
        <v>69</v>
      </c>
      <c r="H60" s="5" t="str">
        <f t="shared" si="1"/>
        <v>F D68N</v>
      </c>
      <c r="I60" s="5">
        <v>-0.88700000000000001</v>
      </c>
      <c r="J60" s="3">
        <f t="shared" si="2"/>
        <v>-1.1325000000000001</v>
      </c>
      <c r="K60" s="3">
        <f t="shared" si="3"/>
        <v>1.1325000000000001</v>
      </c>
    </row>
    <row r="61" spans="1:13" x14ac:dyDescent="0.2">
      <c r="A61" s="5" t="s">
        <v>64</v>
      </c>
      <c r="B61" s="5">
        <v>68</v>
      </c>
      <c r="C61" s="5" t="s">
        <v>70</v>
      </c>
      <c r="D61" s="5" t="str">
        <f t="shared" si="0"/>
        <v>B D68Y</v>
      </c>
      <c r="E61" s="5">
        <v>-1.1240000000000001</v>
      </c>
      <c r="F61" s="5" t="s">
        <v>66</v>
      </c>
      <c r="G61" s="5" t="s">
        <v>70</v>
      </c>
      <c r="H61" s="5" t="str">
        <f t="shared" si="1"/>
        <v>F D68Y</v>
      </c>
      <c r="I61" s="5">
        <v>-1.3839999999999999</v>
      </c>
      <c r="J61" s="3">
        <f t="shared" si="2"/>
        <v>-1.254</v>
      </c>
      <c r="K61" s="3">
        <f t="shared" si="3"/>
        <v>1.254</v>
      </c>
    </row>
    <row r="62" spans="1:13" x14ac:dyDescent="0.2">
      <c r="A62" s="5" t="s">
        <v>71</v>
      </c>
      <c r="B62" s="5">
        <v>19</v>
      </c>
      <c r="C62" s="5" t="s">
        <v>72</v>
      </c>
      <c r="D62" s="5" t="str">
        <f t="shared" si="0"/>
        <v>C S19C</v>
      </c>
      <c r="E62" s="5">
        <v>-9.5000000000000001E-2</v>
      </c>
      <c r="F62" s="5" t="s">
        <v>73</v>
      </c>
      <c r="G62" s="5" t="s">
        <v>72</v>
      </c>
      <c r="H62" s="5" t="str">
        <f t="shared" si="1"/>
        <v>G S19C</v>
      </c>
      <c r="I62" s="5">
        <v>-0.10199999999999999</v>
      </c>
      <c r="J62" s="3">
        <f t="shared" si="2"/>
        <v>-9.8500000000000004E-2</v>
      </c>
      <c r="K62" s="3">
        <f t="shared" si="3"/>
        <v>9.8500000000000004E-2</v>
      </c>
    </row>
    <row r="63" spans="1:13" x14ac:dyDescent="0.2">
      <c r="A63" s="5" t="s">
        <v>71</v>
      </c>
      <c r="B63" s="5">
        <v>19</v>
      </c>
      <c r="C63" s="5" t="s">
        <v>74</v>
      </c>
      <c r="D63" s="5" t="str">
        <f t="shared" si="0"/>
        <v>C S19F</v>
      </c>
      <c r="E63" s="5">
        <v>-0.216</v>
      </c>
      <c r="F63" s="5" t="s">
        <v>73</v>
      </c>
      <c r="G63" s="5" t="s">
        <v>74</v>
      </c>
      <c r="H63" s="5" t="str">
        <f t="shared" si="1"/>
        <v>G S19F</v>
      </c>
      <c r="I63" s="6">
        <v>-0.16200000000000001</v>
      </c>
      <c r="J63" s="3">
        <f t="shared" si="2"/>
        <v>-0.189</v>
      </c>
      <c r="K63" s="3">
        <f t="shared" si="3"/>
        <v>0.189</v>
      </c>
    </row>
    <row r="64" spans="1:13" x14ac:dyDescent="0.2">
      <c r="A64" s="5" t="s">
        <v>71</v>
      </c>
      <c r="B64" s="5">
        <v>19</v>
      </c>
      <c r="C64" s="5" t="s">
        <v>75</v>
      </c>
      <c r="D64" s="5" t="str">
        <f t="shared" si="0"/>
        <v>C S19L</v>
      </c>
      <c r="E64" s="5">
        <v>-0.19600000000000001</v>
      </c>
      <c r="F64" s="5" t="s">
        <v>73</v>
      </c>
      <c r="G64" s="5" t="s">
        <v>75</v>
      </c>
      <c r="H64" s="5" t="str">
        <f t="shared" si="1"/>
        <v>G S19L</v>
      </c>
      <c r="I64" s="5">
        <v>-0.14599999999999999</v>
      </c>
      <c r="J64" s="3">
        <f t="shared" si="2"/>
        <v>-0.17100000000000001</v>
      </c>
      <c r="K64" s="3">
        <f t="shared" si="3"/>
        <v>0.17100000000000001</v>
      </c>
    </row>
    <row r="65" spans="1:12" x14ac:dyDescent="0.2">
      <c r="A65" s="5" t="s">
        <v>71</v>
      </c>
      <c r="B65" s="5">
        <v>19</v>
      </c>
      <c r="C65" s="5" t="s">
        <v>76</v>
      </c>
      <c r="D65" s="5" t="str">
        <f t="shared" si="0"/>
        <v>C S19P</v>
      </c>
      <c r="E65" s="5">
        <v>-0.79600000000000004</v>
      </c>
      <c r="F65" s="5" t="s">
        <v>73</v>
      </c>
      <c r="G65" s="5" t="s">
        <v>76</v>
      </c>
      <c r="H65" s="5" t="str">
        <f t="shared" si="1"/>
        <v>G S19P</v>
      </c>
      <c r="I65" s="5">
        <v>-0.60899999999999999</v>
      </c>
      <c r="J65" s="3">
        <f t="shared" si="2"/>
        <v>-0.70250000000000001</v>
      </c>
      <c r="K65" s="3">
        <f t="shared" si="3"/>
        <v>0.70250000000000001</v>
      </c>
    </row>
    <row r="66" spans="1:12" x14ac:dyDescent="0.2">
      <c r="A66" s="5" t="s">
        <v>71</v>
      </c>
      <c r="B66" s="5">
        <v>19</v>
      </c>
      <c r="C66" s="5" t="s">
        <v>77</v>
      </c>
      <c r="D66" s="5" t="str">
        <f t="shared" ref="D66:D115" si="4">A66&amp;" "&amp;C66</f>
        <v>C S19Y</v>
      </c>
      <c r="E66" s="5">
        <v>-0.20599999999999999</v>
      </c>
      <c r="F66" s="5" t="s">
        <v>73</v>
      </c>
      <c r="G66" s="5" t="s">
        <v>77</v>
      </c>
      <c r="H66" s="5" t="str">
        <f t="shared" ref="H66:H115" si="5">F66&amp;" "&amp;G66</f>
        <v>G S19Y</v>
      </c>
      <c r="I66" s="5">
        <v>-0.14599999999999999</v>
      </c>
      <c r="J66" s="3">
        <f t="shared" ref="J66:J115" si="6">AVERAGE(E66,I66)</f>
        <v>-0.17599999999999999</v>
      </c>
      <c r="K66" s="3">
        <f t="shared" ref="K66:K115" si="7">-J66</f>
        <v>0.17599999999999999</v>
      </c>
    </row>
    <row r="67" spans="1:12" x14ac:dyDescent="0.2">
      <c r="A67" s="5" t="s">
        <v>71</v>
      </c>
      <c r="B67" s="5">
        <v>29</v>
      </c>
      <c r="C67" s="5" t="s">
        <v>78</v>
      </c>
      <c r="D67" s="5" t="str">
        <f t="shared" si="4"/>
        <v>C R29P</v>
      </c>
      <c r="E67" s="5">
        <v>-1.6850000000000001</v>
      </c>
      <c r="F67" s="5" t="s">
        <v>73</v>
      </c>
      <c r="G67" s="5" t="s">
        <v>78</v>
      </c>
      <c r="H67" s="5" t="str">
        <f t="shared" si="5"/>
        <v>G R29P</v>
      </c>
      <c r="I67" s="5">
        <v>-1.204</v>
      </c>
      <c r="J67" s="3">
        <f t="shared" si="6"/>
        <v>-1.4444999999999999</v>
      </c>
      <c r="K67" s="3">
        <f t="shared" si="7"/>
        <v>1.4444999999999999</v>
      </c>
    </row>
    <row r="68" spans="1:12" x14ac:dyDescent="0.2">
      <c r="A68" s="5" t="s">
        <v>71</v>
      </c>
      <c r="B68" s="5">
        <v>29</v>
      </c>
      <c r="C68" s="5" t="s">
        <v>79</v>
      </c>
      <c r="D68" s="5" t="str">
        <f t="shared" si="4"/>
        <v>C R29Q</v>
      </c>
      <c r="E68" s="5">
        <v>-0.66900000000000004</v>
      </c>
      <c r="F68" s="5" t="s">
        <v>73</v>
      </c>
      <c r="G68" s="5" t="s">
        <v>79</v>
      </c>
      <c r="H68" s="5" t="str">
        <f t="shared" si="5"/>
        <v>G R29Q</v>
      </c>
      <c r="I68" s="5">
        <v>-0.67</v>
      </c>
      <c r="J68" s="3">
        <f t="shared" si="6"/>
        <v>-0.66949999999999998</v>
      </c>
      <c r="K68" s="3">
        <f t="shared" si="7"/>
        <v>0.66949999999999998</v>
      </c>
    </row>
    <row r="69" spans="1:12" x14ac:dyDescent="0.2">
      <c r="A69" s="5" t="s">
        <v>71</v>
      </c>
      <c r="B69" s="5">
        <v>29</v>
      </c>
      <c r="C69" s="5" t="s">
        <v>80</v>
      </c>
      <c r="D69" s="5" t="str">
        <f t="shared" si="4"/>
        <v>C R29L</v>
      </c>
      <c r="E69" s="5">
        <v>-0.25900000000000001</v>
      </c>
      <c r="F69" s="5" t="s">
        <v>73</v>
      </c>
      <c r="G69" s="5" t="s">
        <v>80</v>
      </c>
      <c r="H69" s="5" t="str">
        <f t="shared" si="5"/>
        <v>G R29L</v>
      </c>
      <c r="I69" s="5">
        <v>-0.504</v>
      </c>
      <c r="J69" s="3">
        <f t="shared" ref="J69" si="8">AVERAGE(E69,I69)</f>
        <v>-0.38150000000000001</v>
      </c>
      <c r="K69" s="3">
        <f t="shared" ref="K69" si="9">-J69</f>
        <v>0.38150000000000001</v>
      </c>
    </row>
    <row r="70" spans="1:12" x14ac:dyDescent="0.2">
      <c r="A70" s="5" t="s">
        <v>71</v>
      </c>
      <c r="B70" s="5">
        <v>37</v>
      </c>
      <c r="C70" s="5" t="s">
        <v>81</v>
      </c>
      <c r="D70" s="5" t="str">
        <f t="shared" si="4"/>
        <v>C G37C</v>
      </c>
      <c r="E70" s="5">
        <v>-0.50800000000000001</v>
      </c>
      <c r="F70" s="5" t="s">
        <v>73</v>
      </c>
      <c r="G70" s="5" t="s">
        <v>81</v>
      </c>
      <c r="H70" s="5" t="str">
        <f t="shared" si="5"/>
        <v>G G37C</v>
      </c>
      <c r="I70" s="5">
        <v>-0.314</v>
      </c>
      <c r="J70" s="3">
        <f t="shared" si="6"/>
        <v>-0.41099999999999998</v>
      </c>
      <c r="K70" s="3">
        <f t="shared" si="7"/>
        <v>0.41099999999999998</v>
      </c>
    </row>
    <row r="71" spans="1:12" x14ac:dyDescent="0.2">
      <c r="A71" s="5" t="s">
        <v>71</v>
      </c>
      <c r="B71" s="5">
        <v>37</v>
      </c>
      <c r="C71" s="5" t="s">
        <v>82</v>
      </c>
      <c r="D71" s="5" t="str">
        <f t="shared" si="4"/>
        <v>C G37D</v>
      </c>
      <c r="E71" s="5">
        <v>-1.129</v>
      </c>
      <c r="F71" s="5" t="s">
        <v>73</v>
      </c>
      <c r="G71" s="5" t="s">
        <v>82</v>
      </c>
      <c r="H71" s="5" t="str">
        <f t="shared" si="5"/>
        <v>G G37D</v>
      </c>
      <c r="I71" s="5">
        <v>-0.495</v>
      </c>
      <c r="J71" s="3">
        <f t="shared" si="6"/>
        <v>-0.81200000000000006</v>
      </c>
      <c r="K71" s="3">
        <f t="shared" si="7"/>
        <v>0.81200000000000006</v>
      </c>
    </row>
    <row r="72" spans="1:12" x14ac:dyDescent="0.2">
      <c r="A72" s="5" t="s">
        <v>71</v>
      </c>
      <c r="B72" s="5">
        <v>37</v>
      </c>
      <c r="C72" s="5" t="s">
        <v>83</v>
      </c>
      <c r="D72" s="5" t="str">
        <f t="shared" si="4"/>
        <v>C G37S</v>
      </c>
      <c r="E72" s="5">
        <v>-0.42599999999999999</v>
      </c>
      <c r="F72" s="5" t="s">
        <v>73</v>
      </c>
      <c r="G72" s="5" t="s">
        <v>83</v>
      </c>
      <c r="H72" s="5" t="str">
        <f t="shared" si="5"/>
        <v>G G37S</v>
      </c>
      <c r="I72" s="5">
        <v>-0.36399999999999999</v>
      </c>
      <c r="J72" s="3">
        <f t="shared" si="6"/>
        <v>-0.39500000000000002</v>
      </c>
      <c r="K72" s="3">
        <f t="shared" si="7"/>
        <v>0.39500000000000002</v>
      </c>
    </row>
    <row r="73" spans="1:12" x14ac:dyDescent="0.2">
      <c r="A73" s="5" t="s">
        <v>71</v>
      </c>
      <c r="B73" s="5">
        <v>37</v>
      </c>
      <c r="C73" s="5" t="s">
        <v>84</v>
      </c>
      <c r="D73" s="5" t="str">
        <f t="shared" si="4"/>
        <v>C G37V</v>
      </c>
      <c r="E73" s="5">
        <v>-0.98299999999999998</v>
      </c>
      <c r="F73" s="5" t="s">
        <v>73</v>
      </c>
      <c r="G73" s="5" t="s">
        <v>84</v>
      </c>
      <c r="H73" s="5" t="str">
        <f t="shared" si="5"/>
        <v>G G37V</v>
      </c>
      <c r="I73" s="5">
        <v>-0.91100000000000003</v>
      </c>
      <c r="J73" s="3">
        <f t="shared" si="6"/>
        <v>-0.94699999999999995</v>
      </c>
      <c r="K73" s="3">
        <f t="shared" si="7"/>
        <v>0.94699999999999995</v>
      </c>
    </row>
    <row r="74" spans="1:12" x14ac:dyDescent="0.2">
      <c r="A74" s="5" t="s">
        <v>71</v>
      </c>
      <c r="B74" s="5">
        <v>56</v>
      </c>
      <c r="C74" s="5" t="s">
        <v>85</v>
      </c>
      <c r="D74" s="5" t="str">
        <f t="shared" si="4"/>
        <v>C E56A</v>
      </c>
      <c r="E74" s="5">
        <v>-0.67300000000000004</v>
      </c>
      <c r="F74" s="5" t="s">
        <v>73</v>
      </c>
      <c r="G74" s="5" t="s">
        <v>85</v>
      </c>
      <c r="H74" s="5" t="str">
        <f t="shared" si="5"/>
        <v>G E56A</v>
      </c>
      <c r="I74" s="5">
        <v>-0.78200000000000003</v>
      </c>
      <c r="J74" s="3">
        <f t="shared" si="6"/>
        <v>-0.72750000000000004</v>
      </c>
      <c r="K74" s="3">
        <f t="shared" si="7"/>
        <v>0.72750000000000004</v>
      </c>
    </row>
    <row r="75" spans="1:12" x14ac:dyDescent="0.2">
      <c r="A75" s="5" t="s">
        <v>71</v>
      </c>
      <c r="B75" s="5">
        <v>56</v>
      </c>
      <c r="C75" s="5" t="s">
        <v>86</v>
      </c>
      <c r="D75" s="5" t="str">
        <f t="shared" si="4"/>
        <v>C E56D</v>
      </c>
      <c r="E75" s="5">
        <v>-0.50800000000000001</v>
      </c>
      <c r="F75" s="5" t="s">
        <v>73</v>
      </c>
      <c r="G75" s="5" t="s">
        <v>86</v>
      </c>
      <c r="H75" s="5" t="str">
        <f t="shared" si="5"/>
        <v>G E56D</v>
      </c>
      <c r="I75" s="5">
        <v>-0.54100000000000004</v>
      </c>
      <c r="J75" s="3">
        <f t="shared" si="6"/>
        <v>-0.52449999999999997</v>
      </c>
      <c r="K75" s="3">
        <f t="shared" si="7"/>
        <v>0.52449999999999997</v>
      </c>
    </row>
    <row r="76" spans="1:12" x14ac:dyDescent="0.2">
      <c r="A76" s="5" t="s">
        <v>71</v>
      </c>
      <c r="B76" s="5">
        <v>56</v>
      </c>
      <c r="C76" s="5" t="s">
        <v>87</v>
      </c>
      <c r="D76" s="5" t="str">
        <f t="shared" si="4"/>
        <v>C E56G</v>
      </c>
      <c r="E76" s="5">
        <v>-0.82099999999999995</v>
      </c>
      <c r="F76" s="5" t="s">
        <v>73</v>
      </c>
      <c r="G76" s="5" t="s">
        <v>87</v>
      </c>
      <c r="H76" s="5" t="str">
        <f t="shared" si="5"/>
        <v>G E56G</v>
      </c>
      <c r="I76" s="5">
        <v>-0.97499999999999998</v>
      </c>
      <c r="J76" s="3">
        <f t="shared" si="6"/>
        <v>-0.89800000000000002</v>
      </c>
      <c r="K76" s="3">
        <f t="shared" si="7"/>
        <v>0.89800000000000002</v>
      </c>
    </row>
    <row r="77" spans="1:12" x14ac:dyDescent="0.2">
      <c r="A77" s="5" t="s">
        <v>71</v>
      </c>
      <c r="B77" s="5">
        <v>56</v>
      </c>
      <c r="C77" s="5" t="s">
        <v>88</v>
      </c>
      <c r="D77" s="5" t="str">
        <f t="shared" si="4"/>
        <v>C E56K</v>
      </c>
      <c r="E77" s="5">
        <v>-0.66200000000000003</v>
      </c>
      <c r="F77" s="5" t="s">
        <v>73</v>
      </c>
      <c r="G77" s="5" t="s">
        <v>88</v>
      </c>
      <c r="H77" s="5" t="str">
        <f t="shared" si="5"/>
        <v>G E56K</v>
      </c>
      <c r="I77" s="5">
        <v>-0.74099999999999999</v>
      </c>
      <c r="J77" s="3">
        <f t="shared" si="6"/>
        <v>-0.70150000000000001</v>
      </c>
      <c r="K77" s="3">
        <f t="shared" si="7"/>
        <v>0.70150000000000001</v>
      </c>
    </row>
    <row r="78" spans="1:12" x14ac:dyDescent="0.2">
      <c r="A78" s="5" t="s">
        <v>71</v>
      </c>
      <c r="B78" s="5">
        <v>56</v>
      </c>
      <c r="C78" s="5" t="s">
        <v>89</v>
      </c>
      <c r="D78" s="5" t="str">
        <f t="shared" si="4"/>
        <v>C E56Q</v>
      </c>
      <c r="E78" s="5">
        <v>-0.432</v>
      </c>
      <c r="F78" s="5" t="s">
        <v>73</v>
      </c>
      <c r="G78" s="5" t="s">
        <v>89</v>
      </c>
      <c r="H78" s="5" t="str">
        <f t="shared" si="5"/>
        <v>G E56Q</v>
      </c>
      <c r="I78" s="5">
        <v>-0.55400000000000005</v>
      </c>
      <c r="J78" s="3">
        <f t="shared" si="6"/>
        <v>-0.49299999999999999</v>
      </c>
      <c r="K78" s="3">
        <f t="shared" si="7"/>
        <v>0.49299999999999999</v>
      </c>
    </row>
    <row r="79" spans="1:12" x14ac:dyDescent="0.2">
      <c r="A79" s="5" t="s">
        <v>71</v>
      </c>
      <c r="B79" s="5">
        <v>74</v>
      </c>
      <c r="C79" s="5" t="s">
        <v>90</v>
      </c>
      <c r="D79" s="5" t="str">
        <f t="shared" si="4"/>
        <v>C K74E</v>
      </c>
      <c r="E79" s="5">
        <v>-0.14799999999999999</v>
      </c>
      <c r="F79" s="5" t="s">
        <v>73</v>
      </c>
      <c r="G79" s="5" t="s">
        <v>90</v>
      </c>
      <c r="H79" s="5" t="str">
        <f t="shared" si="5"/>
        <v>G K74E</v>
      </c>
      <c r="I79" s="5">
        <v>-0.156</v>
      </c>
      <c r="J79" s="3">
        <f t="shared" si="6"/>
        <v>-0.152</v>
      </c>
      <c r="K79" s="3">
        <f t="shared" si="7"/>
        <v>0.152</v>
      </c>
    </row>
    <row r="80" spans="1:12" x14ac:dyDescent="0.2">
      <c r="A80" s="5" t="s">
        <v>71</v>
      </c>
      <c r="B80" s="5">
        <v>74</v>
      </c>
      <c r="C80" s="5" t="s">
        <v>91</v>
      </c>
      <c r="D80" s="5" t="str">
        <f t="shared" si="4"/>
        <v>C K74N</v>
      </c>
      <c r="E80" s="5">
        <v>-0.112</v>
      </c>
      <c r="F80" s="5" t="s">
        <v>73</v>
      </c>
      <c r="G80" s="5" t="s">
        <v>91</v>
      </c>
      <c r="H80" s="5" t="str">
        <f t="shared" si="5"/>
        <v>G K74N</v>
      </c>
      <c r="I80" s="5">
        <v>-0.122</v>
      </c>
      <c r="J80" s="3">
        <f t="shared" si="6"/>
        <v>-0.11700000000000001</v>
      </c>
      <c r="K80" s="3">
        <f t="shared" si="7"/>
        <v>0.11700000000000001</v>
      </c>
      <c r="L80" s="8"/>
    </row>
    <row r="81" spans="1:12" x14ac:dyDescent="0.2">
      <c r="A81" s="5" t="s">
        <v>71</v>
      </c>
      <c r="B81" s="5">
        <v>74</v>
      </c>
      <c r="C81" s="5" t="s">
        <v>92</v>
      </c>
      <c r="D81" s="5" t="str">
        <f t="shared" si="4"/>
        <v>C K74R</v>
      </c>
      <c r="E81" s="5">
        <v>-7.2999999999999995E-2</v>
      </c>
      <c r="F81" s="5" t="s">
        <v>73</v>
      </c>
      <c r="G81" s="5" t="s">
        <v>92</v>
      </c>
      <c r="H81" s="5" t="str">
        <f t="shared" si="5"/>
        <v>G K74R</v>
      </c>
      <c r="I81" s="5">
        <v>-8.5999999999999993E-2</v>
      </c>
      <c r="J81" s="3">
        <f t="shared" ref="J81" si="10">AVERAGE(E81,I81)</f>
        <v>-7.9499999999999987E-2</v>
      </c>
      <c r="K81" s="3">
        <f t="shared" ref="K81" si="11">-J81</f>
        <v>7.9499999999999987E-2</v>
      </c>
      <c r="L81" s="8"/>
    </row>
    <row r="82" spans="1:12" x14ac:dyDescent="0.2">
      <c r="A82" s="5" t="s">
        <v>93</v>
      </c>
      <c r="B82" s="5">
        <v>35</v>
      </c>
      <c r="C82" s="5" t="s">
        <v>94</v>
      </c>
      <c r="D82" s="5" t="str">
        <f t="shared" si="4"/>
        <v>D E35A</v>
      </c>
      <c r="E82" s="5">
        <v>-0.32300000000000001</v>
      </c>
      <c r="F82" s="5" t="s">
        <v>95</v>
      </c>
      <c r="G82" s="5" t="s">
        <v>94</v>
      </c>
      <c r="H82" s="5" t="str">
        <f t="shared" si="5"/>
        <v>H E35A</v>
      </c>
      <c r="I82" s="5">
        <v>-0.26200000000000001</v>
      </c>
      <c r="J82" s="3">
        <f t="shared" si="6"/>
        <v>-0.29249999999999998</v>
      </c>
      <c r="K82" s="3">
        <f t="shared" si="7"/>
        <v>0.29249999999999998</v>
      </c>
      <c r="L82" s="8"/>
    </row>
    <row r="83" spans="1:12" x14ac:dyDescent="0.2">
      <c r="A83" s="5" t="s">
        <v>93</v>
      </c>
      <c r="B83" s="5">
        <v>35</v>
      </c>
      <c r="C83" s="5" t="s">
        <v>96</v>
      </c>
      <c r="D83" s="5" t="str">
        <f t="shared" si="4"/>
        <v>D E35D</v>
      </c>
      <c r="E83" s="5">
        <v>-0.13100000000000001</v>
      </c>
      <c r="F83" s="5" t="s">
        <v>95</v>
      </c>
      <c r="G83" s="5" t="s">
        <v>96</v>
      </c>
      <c r="H83" s="5" t="str">
        <f t="shared" si="5"/>
        <v>H E35D</v>
      </c>
      <c r="I83" s="5">
        <v>-0.151</v>
      </c>
      <c r="J83" s="3">
        <f t="shared" si="6"/>
        <v>-0.14099999999999999</v>
      </c>
      <c r="K83" s="3">
        <f t="shared" si="7"/>
        <v>0.14099999999999999</v>
      </c>
      <c r="L83" s="8"/>
    </row>
    <row r="84" spans="1:12" x14ac:dyDescent="0.2">
      <c r="A84" s="5" t="s">
        <v>93</v>
      </c>
      <c r="B84" s="5">
        <v>35</v>
      </c>
      <c r="C84" s="5" t="s">
        <v>97</v>
      </c>
      <c r="D84" s="5" t="str">
        <f t="shared" si="4"/>
        <v>D E35K</v>
      </c>
      <c r="E84" s="5">
        <v>-0.35399999999999998</v>
      </c>
      <c r="F84" s="5" t="s">
        <v>95</v>
      </c>
      <c r="G84" s="5" t="s">
        <v>97</v>
      </c>
      <c r="H84" s="5" t="str">
        <f t="shared" si="5"/>
        <v>H E35K</v>
      </c>
      <c r="I84" s="5">
        <v>-0.27100000000000002</v>
      </c>
      <c r="J84" s="3">
        <f t="shared" si="6"/>
        <v>-0.3125</v>
      </c>
      <c r="K84" s="3">
        <f t="shared" si="7"/>
        <v>0.3125</v>
      </c>
      <c r="L84" s="8"/>
    </row>
    <row r="85" spans="1:12" x14ac:dyDescent="0.2">
      <c r="A85" s="5" t="s">
        <v>93</v>
      </c>
      <c r="B85" s="5">
        <v>36</v>
      </c>
      <c r="C85" s="5" t="s">
        <v>98</v>
      </c>
      <c r="D85" s="5" t="str">
        <f t="shared" si="4"/>
        <v>D S36C</v>
      </c>
      <c r="E85" s="5">
        <v>-0.19600000000000001</v>
      </c>
      <c r="F85" s="5" t="s">
        <v>95</v>
      </c>
      <c r="G85" s="5" t="s">
        <v>98</v>
      </c>
      <c r="H85" s="5" t="str">
        <f t="shared" si="5"/>
        <v>H S36C</v>
      </c>
      <c r="I85" s="5">
        <v>-0.19500000000000001</v>
      </c>
      <c r="J85" s="3">
        <f t="shared" si="6"/>
        <v>-0.19550000000000001</v>
      </c>
      <c r="K85" s="3">
        <f t="shared" si="7"/>
        <v>0.19550000000000001</v>
      </c>
      <c r="L85" s="8"/>
    </row>
    <row r="86" spans="1:12" x14ac:dyDescent="0.2">
      <c r="A86" s="5" t="s">
        <v>93</v>
      </c>
      <c r="B86" s="5">
        <v>36</v>
      </c>
      <c r="C86" s="5" t="s">
        <v>99</v>
      </c>
      <c r="D86" s="5" t="str">
        <f t="shared" si="4"/>
        <v>D S36N</v>
      </c>
      <c r="E86" s="5">
        <v>-0.16300000000000001</v>
      </c>
      <c r="F86" s="5" t="s">
        <v>95</v>
      </c>
      <c r="G86" s="5" t="s">
        <v>99</v>
      </c>
      <c r="H86" s="5" t="str">
        <f t="shared" si="5"/>
        <v>H S36N</v>
      </c>
      <c r="I86" s="5">
        <v>-0.16400000000000001</v>
      </c>
      <c r="J86" s="3">
        <f t="shared" si="6"/>
        <v>-0.16350000000000001</v>
      </c>
      <c r="K86" s="3">
        <f t="shared" si="7"/>
        <v>0.16350000000000001</v>
      </c>
      <c r="L86" s="8"/>
    </row>
    <row r="87" spans="1:12" x14ac:dyDescent="0.2">
      <c r="A87" s="5" t="s">
        <v>93</v>
      </c>
      <c r="B87" s="5">
        <v>36</v>
      </c>
      <c r="C87" s="5" t="s">
        <v>100</v>
      </c>
      <c r="D87" s="5" t="str">
        <f t="shared" si="4"/>
        <v>D S36R</v>
      </c>
      <c r="E87" s="5">
        <v>-0.29499999999999998</v>
      </c>
      <c r="F87" s="5" t="s">
        <v>95</v>
      </c>
      <c r="G87" s="5" t="s">
        <v>100</v>
      </c>
      <c r="H87" s="5" t="str">
        <f t="shared" si="5"/>
        <v>H S36R</v>
      </c>
      <c r="I87" s="5">
        <v>-0.32800000000000001</v>
      </c>
      <c r="J87" s="3">
        <f t="shared" si="6"/>
        <v>-0.3115</v>
      </c>
      <c r="K87" s="3">
        <f t="shared" si="7"/>
        <v>0.3115</v>
      </c>
      <c r="L87" s="8"/>
    </row>
    <row r="88" spans="1:12" x14ac:dyDescent="0.2">
      <c r="A88" s="5" t="s">
        <v>93</v>
      </c>
      <c r="B88" s="5">
        <v>53</v>
      </c>
      <c r="C88" s="5" t="s">
        <v>101</v>
      </c>
      <c r="D88" s="5" t="str">
        <f t="shared" si="4"/>
        <v>D G53A</v>
      </c>
      <c r="E88" s="5">
        <v>-0.18</v>
      </c>
      <c r="F88" s="5" t="s">
        <v>95</v>
      </c>
      <c r="G88" s="5" t="s">
        <v>101</v>
      </c>
      <c r="H88" s="5" t="str">
        <f t="shared" si="5"/>
        <v>H G53A</v>
      </c>
      <c r="I88" s="5">
        <v>-0.217</v>
      </c>
      <c r="J88" s="3">
        <f t="shared" si="6"/>
        <v>-0.19850000000000001</v>
      </c>
      <c r="K88" s="3">
        <f t="shared" si="7"/>
        <v>0.19850000000000001</v>
      </c>
      <c r="L88" s="8"/>
    </row>
    <row r="89" spans="1:12" x14ac:dyDescent="0.2">
      <c r="A89" s="5" t="s">
        <v>93</v>
      </c>
      <c r="B89" s="5">
        <v>53</v>
      </c>
      <c r="C89" s="5" t="s">
        <v>102</v>
      </c>
      <c r="D89" s="5" t="str">
        <f t="shared" si="4"/>
        <v>D G53C</v>
      </c>
      <c r="E89" s="5">
        <v>-7.8E-2</v>
      </c>
      <c r="F89" s="5" t="s">
        <v>95</v>
      </c>
      <c r="G89" s="5" t="s">
        <v>102</v>
      </c>
      <c r="H89" s="5" t="str">
        <f t="shared" si="5"/>
        <v>H G53C</v>
      </c>
      <c r="I89" s="5">
        <v>-0.13800000000000001</v>
      </c>
      <c r="J89" s="3">
        <f t="shared" si="6"/>
        <v>-0.108</v>
      </c>
      <c r="K89" s="3">
        <f t="shared" si="7"/>
        <v>0.108</v>
      </c>
    </row>
    <row r="90" spans="1:12" x14ac:dyDescent="0.2">
      <c r="A90" s="5" t="s">
        <v>93</v>
      </c>
      <c r="B90" s="5">
        <v>53</v>
      </c>
      <c r="C90" s="5" t="s">
        <v>103</v>
      </c>
      <c r="D90" s="5" t="str">
        <f t="shared" si="4"/>
        <v>D G53D</v>
      </c>
      <c r="E90" s="5">
        <v>0.23899999999999999</v>
      </c>
      <c r="F90" s="5" t="s">
        <v>95</v>
      </c>
      <c r="G90" s="5" t="s">
        <v>103</v>
      </c>
      <c r="H90" s="5" t="str">
        <f t="shared" si="5"/>
        <v>H G53D</v>
      </c>
      <c r="I90" s="5">
        <v>0.32700000000000001</v>
      </c>
      <c r="J90" s="3">
        <f t="shared" si="6"/>
        <v>0.28299999999999997</v>
      </c>
      <c r="K90" s="3">
        <f t="shared" si="7"/>
        <v>-0.28299999999999997</v>
      </c>
    </row>
    <row r="91" spans="1:12" x14ac:dyDescent="0.2">
      <c r="A91" s="5" t="s">
        <v>93</v>
      </c>
      <c r="B91" s="5">
        <v>53</v>
      </c>
      <c r="C91" s="5" t="s">
        <v>104</v>
      </c>
      <c r="D91" s="5" t="str">
        <f t="shared" si="4"/>
        <v>D G53R</v>
      </c>
      <c r="E91" s="5">
        <v>-1.099</v>
      </c>
      <c r="F91" s="5" t="s">
        <v>95</v>
      </c>
      <c r="G91" s="5" t="s">
        <v>104</v>
      </c>
      <c r="H91" s="5" t="str">
        <f t="shared" si="5"/>
        <v>H G53R</v>
      </c>
      <c r="I91" s="5">
        <v>-0.97599999999999998</v>
      </c>
      <c r="J91" s="3">
        <f t="shared" si="6"/>
        <v>-1.0375000000000001</v>
      </c>
      <c r="K91" s="3">
        <f t="shared" si="7"/>
        <v>1.0375000000000001</v>
      </c>
    </row>
    <row r="92" spans="1:12" x14ac:dyDescent="0.2">
      <c r="A92" s="5" t="s">
        <v>93</v>
      </c>
      <c r="B92" s="5">
        <v>53</v>
      </c>
      <c r="C92" s="5" t="s">
        <v>105</v>
      </c>
      <c r="D92" s="5" t="str">
        <f t="shared" si="4"/>
        <v>D G53S</v>
      </c>
      <c r="E92" s="5">
        <v>-0.307</v>
      </c>
      <c r="F92" s="5" t="s">
        <v>95</v>
      </c>
      <c r="G92" s="5" t="s">
        <v>105</v>
      </c>
      <c r="H92" s="5" t="str">
        <f t="shared" si="5"/>
        <v>H G53S</v>
      </c>
      <c r="I92" s="5">
        <v>-0.309</v>
      </c>
      <c r="J92" s="3">
        <f t="shared" si="6"/>
        <v>-0.308</v>
      </c>
      <c r="K92" s="3">
        <f t="shared" si="7"/>
        <v>0.308</v>
      </c>
    </row>
    <row r="93" spans="1:12" x14ac:dyDescent="0.2">
      <c r="A93" s="5" t="s">
        <v>93</v>
      </c>
      <c r="B93" s="5">
        <v>68</v>
      </c>
      <c r="C93" s="5" t="s">
        <v>67</v>
      </c>
      <c r="D93" s="5" t="str">
        <f t="shared" si="4"/>
        <v>D D68G</v>
      </c>
      <c r="E93" s="5">
        <v>-1.99</v>
      </c>
      <c r="F93" s="5" t="s">
        <v>95</v>
      </c>
      <c r="G93" s="5" t="s">
        <v>67</v>
      </c>
      <c r="H93" s="5" t="str">
        <f t="shared" si="5"/>
        <v>H D68G</v>
      </c>
      <c r="I93" s="5">
        <v>-2.1720000000000002</v>
      </c>
      <c r="J93" s="3">
        <f t="shared" si="6"/>
        <v>-2.081</v>
      </c>
      <c r="K93" s="3">
        <f t="shared" si="7"/>
        <v>2.081</v>
      </c>
    </row>
    <row r="94" spans="1:12" x14ac:dyDescent="0.2">
      <c r="A94" s="5" t="s">
        <v>93</v>
      </c>
      <c r="B94" s="5">
        <v>68</v>
      </c>
      <c r="C94" s="5" t="s">
        <v>68</v>
      </c>
      <c r="D94" s="5" t="str">
        <f t="shared" si="4"/>
        <v>D D68H</v>
      </c>
      <c r="E94" s="5">
        <v>-1.3819999999999999</v>
      </c>
      <c r="F94" s="5" t="s">
        <v>95</v>
      </c>
      <c r="G94" s="5" t="s">
        <v>68</v>
      </c>
      <c r="H94" s="5" t="str">
        <f t="shared" si="5"/>
        <v>H D68H</v>
      </c>
      <c r="I94" s="5">
        <v>-1.9970000000000001</v>
      </c>
      <c r="J94" s="3">
        <f t="shared" si="6"/>
        <v>-1.6895</v>
      </c>
      <c r="K94" s="3">
        <f t="shared" si="7"/>
        <v>1.6895</v>
      </c>
    </row>
    <row r="95" spans="1:12" x14ac:dyDescent="0.2">
      <c r="A95" s="5" t="s">
        <v>93</v>
      </c>
      <c r="B95" s="5">
        <v>68</v>
      </c>
      <c r="C95" s="5" t="s">
        <v>69</v>
      </c>
      <c r="D95" s="5" t="str">
        <f t="shared" si="4"/>
        <v>D D68N</v>
      </c>
      <c r="E95" s="5">
        <v>-1.1399999999999999</v>
      </c>
      <c r="F95" s="5" t="s">
        <v>95</v>
      </c>
      <c r="G95" s="5" t="s">
        <v>69</v>
      </c>
      <c r="H95" s="5" t="str">
        <f t="shared" si="5"/>
        <v>H D68N</v>
      </c>
      <c r="I95" s="5">
        <v>-1.5049999999999999</v>
      </c>
      <c r="J95" s="3">
        <f t="shared" si="6"/>
        <v>-1.3225</v>
      </c>
      <c r="K95" s="3">
        <f t="shared" si="7"/>
        <v>1.3225</v>
      </c>
    </row>
    <row r="96" spans="1:12" x14ac:dyDescent="0.2">
      <c r="A96" s="5" t="s">
        <v>93</v>
      </c>
      <c r="B96" s="5">
        <v>70</v>
      </c>
      <c r="C96" s="5" t="s">
        <v>106</v>
      </c>
      <c r="D96" s="5" t="str">
        <f t="shared" si="4"/>
        <v>D F70C</v>
      </c>
      <c r="E96" s="5">
        <v>-0.88500000000000001</v>
      </c>
      <c r="F96" s="5" t="s">
        <v>95</v>
      </c>
      <c r="G96" s="5" t="s">
        <v>106</v>
      </c>
      <c r="H96" s="5" t="str">
        <f t="shared" si="5"/>
        <v>H F70C</v>
      </c>
      <c r="I96" s="5">
        <v>-0.84599999999999997</v>
      </c>
      <c r="J96" s="3">
        <f t="shared" si="6"/>
        <v>-0.86550000000000005</v>
      </c>
      <c r="K96" s="3">
        <f t="shared" si="7"/>
        <v>0.86550000000000005</v>
      </c>
    </row>
    <row r="97" spans="1:11" x14ac:dyDescent="0.2">
      <c r="A97" s="5" t="s">
        <v>93</v>
      </c>
      <c r="B97" s="5">
        <v>70</v>
      </c>
      <c r="C97" s="5" t="s">
        <v>107</v>
      </c>
      <c r="D97" s="5" t="str">
        <f t="shared" si="4"/>
        <v>D F70L</v>
      </c>
      <c r="E97" s="5">
        <v>-0.48199999999999998</v>
      </c>
      <c r="F97" s="5" t="s">
        <v>95</v>
      </c>
      <c r="G97" s="5" t="s">
        <v>107</v>
      </c>
      <c r="H97" s="5" t="str">
        <f t="shared" si="5"/>
        <v>H F70L</v>
      </c>
      <c r="I97" s="5">
        <v>-0.503</v>
      </c>
      <c r="J97" s="3">
        <f t="shared" si="6"/>
        <v>-0.49249999999999999</v>
      </c>
      <c r="K97" s="3">
        <f t="shared" si="7"/>
        <v>0.49249999999999999</v>
      </c>
    </row>
    <row r="98" spans="1:11" x14ac:dyDescent="0.2">
      <c r="A98" s="5" t="s">
        <v>93</v>
      </c>
      <c r="B98" s="5">
        <v>70</v>
      </c>
      <c r="C98" s="5" t="s">
        <v>108</v>
      </c>
      <c r="D98" s="5" t="str">
        <f t="shared" si="4"/>
        <v>D F70S</v>
      </c>
      <c r="E98" s="5">
        <v>-1.4079999999999999</v>
      </c>
      <c r="F98" s="5" t="s">
        <v>95</v>
      </c>
      <c r="G98" s="5" t="s">
        <v>108</v>
      </c>
      <c r="H98" s="5" t="str">
        <f t="shared" si="5"/>
        <v>H F70S</v>
      </c>
      <c r="I98" s="5">
        <v>-1.28</v>
      </c>
      <c r="J98" s="3">
        <f t="shared" si="6"/>
        <v>-1.3440000000000001</v>
      </c>
      <c r="K98" s="3">
        <f t="shared" si="7"/>
        <v>1.3440000000000001</v>
      </c>
    </row>
    <row r="99" spans="1:11" x14ac:dyDescent="0.2">
      <c r="A99" s="5" t="s">
        <v>93</v>
      </c>
      <c r="B99" s="5">
        <v>71</v>
      </c>
      <c r="C99" s="5" t="s">
        <v>109</v>
      </c>
      <c r="D99" s="5" t="str">
        <f t="shared" si="4"/>
        <v>D E71K</v>
      </c>
      <c r="E99" s="5">
        <v>-0.65100000000000002</v>
      </c>
      <c r="F99" s="5" t="s">
        <v>95</v>
      </c>
      <c r="G99" s="5" t="s">
        <v>109</v>
      </c>
      <c r="H99" s="5" t="str">
        <f t="shared" si="5"/>
        <v>H E71K</v>
      </c>
      <c r="I99" s="5">
        <v>-0.54900000000000004</v>
      </c>
      <c r="J99" s="3">
        <f t="shared" si="6"/>
        <v>-0.6</v>
      </c>
      <c r="K99" s="3">
        <f t="shared" si="7"/>
        <v>0.6</v>
      </c>
    </row>
    <row r="100" spans="1:11" x14ac:dyDescent="0.2">
      <c r="A100" s="5" t="s">
        <v>93</v>
      </c>
      <c r="B100" s="5">
        <v>71</v>
      </c>
      <c r="C100" s="5" t="s">
        <v>110</v>
      </c>
      <c r="D100" s="5" t="str">
        <f t="shared" si="4"/>
        <v>D E71Q</v>
      </c>
      <c r="E100" s="5">
        <v>-0.30499999999999999</v>
      </c>
      <c r="F100" s="5" t="s">
        <v>95</v>
      </c>
      <c r="G100" s="5" t="s">
        <v>110</v>
      </c>
      <c r="H100" s="5" t="str">
        <f t="shared" si="5"/>
        <v>H E71Q</v>
      </c>
      <c r="I100" s="5">
        <v>-0.307</v>
      </c>
      <c r="J100" s="3">
        <f t="shared" si="6"/>
        <v>-0.30599999999999999</v>
      </c>
      <c r="K100" s="3">
        <f t="shared" si="7"/>
        <v>0.30599999999999999</v>
      </c>
    </row>
    <row r="101" spans="1:11" x14ac:dyDescent="0.2">
      <c r="A101" s="5" t="s">
        <v>93</v>
      </c>
      <c r="B101" s="5">
        <v>76</v>
      </c>
      <c r="C101" s="5" t="s">
        <v>111</v>
      </c>
      <c r="D101" s="5" t="str">
        <f t="shared" si="4"/>
        <v>D E76K</v>
      </c>
      <c r="E101" s="5">
        <v>-2.0270000000000001</v>
      </c>
      <c r="F101" s="5" t="s">
        <v>95</v>
      </c>
      <c r="G101" s="5" t="s">
        <v>111</v>
      </c>
      <c r="H101" s="5" t="str">
        <f t="shared" si="5"/>
        <v>H E76K</v>
      </c>
      <c r="I101" s="5">
        <v>-2.484</v>
      </c>
      <c r="J101" s="3">
        <f t="shared" si="6"/>
        <v>-2.2555000000000001</v>
      </c>
      <c r="K101" s="3">
        <f t="shared" si="7"/>
        <v>2.2555000000000001</v>
      </c>
    </row>
    <row r="102" spans="1:11" x14ac:dyDescent="0.2">
      <c r="A102" s="5" t="s">
        <v>93</v>
      </c>
      <c r="B102" s="5">
        <v>76</v>
      </c>
      <c r="C102" s="5" t="s">
        <v>112</v>
      </c>
      <c r="D102" s="5" t="str">
        <f t="shared" si="4"/>
        <v>D E76Q</v>
      </c>
      <c r="E102" s="5">
        <v>-1.357</v>
      </c>
      <c r="F102" s="5" t="s">
        <v>95</v>
      </c>
      <c r="G102" s="5" t="s">
        <v>112</v>
      </c>
      <c r="H102" s="5" t="str">
        <f t="shared" si="5"/>
        <v>H E76Q</v>
      </c>
      <c r="I102" s="5">
        <v>-1.7829999999999999</v>
      </c>
      <c r="J102" s="3">
        <f t="shared" si="6"/>
        <v>-1.57</v>
      </c>
      <c r="K102" s="3">
        <f t="shared" si="7"/>
        <v>1.57</v>
      </c>
    </row>
    <row r="103" spans="1:11" x14ac:dyDescent="0.2">
      <c r="A103" s="5" t="s">
        <v>93</v>
      </c>
      <c r="B103" s="5">
        <v>88</v>
      </c>
      <c r="C103" s="5" t="s">
        <v>113</v>
      </c>
      <c r="D103" s="5" t="str">
        <f t="shared" si="4"/>
        <v>D T88A</v>
      </c>
      <c r="E103" s="5">
        <v>-0.129</v>
      </c>
      <c r="F103" s="5" t="s">
        <v>95</v>
      </c>
      <c r="G103" s="5" t="s">
        <v>113</v>
      </c>
      <c r="H103" s="5" t="str">
        <f t="shared" si="5"/>
        <v>H T88A</v>
      </c>
      <c r="I103" s="5">
        <v>-0.222</v>
      </c>
      <c r="J103" s="3">
        <f t="shared" si="6"/>
        <v>-0.17549999999999999</v>
      </c>
      <c r="K103" s="3">
        <f t="shared" si="7"/>
        <v>0.17549999999999999</v>
      </c>
    </row>
    <row r="104" spans="1:11" x14ac:dyDescent="0.2">
      <c r="A104" s="5" t="s">
        <v>93</v>
      </c>
      <c r="B104" s="5">
        <v>88</v>
      </c>
      <c r="C104" s="5" t="s">
        <v>114</v>
      </c>
      <c r="D104" s="5" t="str">
        <f t="shared" si="4"/>
        <v>D T88I</v>
      </c>
      <c r="E104" s="5">
        <v>-0.127</v>
      </c>
      <c r="F104" s="5" t="s">
        <v>95</v>
      </c>
      <c r="G104" s="5" t="s">
        <v>114</v>
      </c>
      <c r="H104" s="5" t="str">
        <f t="shared" si="5"/>
        <v>H T88I</v>
      </c>
      <c r="I104" s="5">
        <v>-0.111</v>
      </c>
      <c r="J104" s="3">
        <f t="shared" si="6"/>
        <v>-0.11899999999999999</v>
      </c>
      <c r="K104" s="3">
        <f t="shared" si="7"/>
        <v>0.11899999999999999</v>
      </c>
    </row>
    <row r="105" spans="1:11" x14ac:dyDescent="0.2">
      <c r="A105" s="5" t="s">
        <v>93</v>
      </c>
      <c r="B105" s="5">
        <v>88</v>
      </c>
      <c r="C105" s="5" t="s">
        <v>115</v>
      </c>
      <c r="D105" s="5" t="str">
        <f t="shared" si="4"/>
        <v>D T88N</v>
      </c>
      <c r="E105" s="5">
        <v>-0.29899999999999999</v>
      </c>
      <c r="F105" s="5" t="s">
        <v>95</v>
      </c>
      <c r="G105" s="5" t="s">
        <v>115</v>
      </c>
      <c r="H105" s="5" t="str">
        <f t="shared" si="5"/>
        <v>H T88N</v>
      </c>
      <c r="I105" s="5">
        <v>-0.44900000000000001</v>
      </c>
      <c r="J105" s="3">
        <f t="shared" si="6"/>
        <v>-0.374</v>
      </c>
      <c r="K105" s="3">
        <f t="shared" si="7"/>
        <v>0.374</v>
      </c>
    </row>
    <row r="106" spans="1:11" x14ac:dyDescent="0.2">
      <c r="A106" s="5" t="s">
        <v>93</v>
      </c>
      <c r="B106" s="5">
        <v>88</v>
      </c>
      <c r="C106" s="5" t="s">
        <v>116</v>
      </c>
      <c r="D106" s="5" t="str">
        <f t="shared" si="4"/>
        <v>D T88S</v>
      </c>
      <c r="E106" s="5">
        <v>-0.16900000000000001</v>
      </c>
      <c r="F106" s="5" t="s">
        <v>95</v>
      </c>
      <c r="G106" s="5" t="s">
        <v>116</v>
      </c>
      <c r="H106" s="5" t="str">
        <f t="shared" si="5"/>
        <v>H T88S</v>
      </c>
      <c r="I106" s="5">
        <v>-0.26800000000000002</v>
      </c>
      <c r="J106" s="3">
        <f t="shared" si="6"/>
        <v>-0.2185</v>
      </c>
      <c r="K106" s="3">
        <f t="shared" si="7"/>
        <v>0.2185</v>
      </c>
    </row>
    <row r="107" spans="1:11" x14ac:dyDescent="0.2">
      <c r="A107" s="5" t="s">
        <v>93</v>
      </c>
      <c r="B107" s="5">
        <v>93</v>
      </c>
      <c r="C107" s="5" t="s">
        <v>117</v>
      </c>
      <c r="D107" s="5" t="str">
        <f t="shared" si="4"/>
        <v>D E93D</v>
      </c>
      <c r="E107" s="5">
        <v>-0.66</v>
      </c>
      <c r="F107" s="5" t="s">
        <v>95</v>
      </c>
      <c r="G107" s="5" t="s">
        <v>117</v>
      </c>
      <c r="H107" s="5" t="str">
        <f t="shared" si="5"/>
        <v>H E93D</v>
      </c>
      <c r="I107" s="5">
        <v>-1.0409999999999999</v>
      </c>
      <c r="J107" s="3">
        <f t="shared" si="6"/>
        <v>-0.85050000000000003</v>
      </c>
      <c r="K107" s="3">
        <f t="shared" si="7"/>
        <v>0.85050000000000003</v>
      </c>
    </row>
    <row r="108" spans="1:11" x14ac:dyDescent="0.2">
      <c r="A108" s="5" t="s">
        <v>93</v>
      </c>
      <c r="B108" s="5">
        <v>93</v>
      </c>
      <c r="C108" s="5" t="s">
        <v>118</v>
      </c>
      <c r="D108" s="5" t="str">
        <f t="shared" si="4"/>
        <v>D E93K</v>
      </c>
      <c r="E108" s="5">
        <v>-3.016</v>
      </c>
      <c r="F108" s="5" t="s">
        <v>95</v>
      </c>
      <c r="G108" s="5" t="s">
        <v>118</v>
      </c>
      <c r="H108" s="5" t="str">
        <f t="shared" si="5"/>
        <v>H E93K</v>
      </c>
      <c r="I108" s="5">
        <v>-2.14</v>
      </c>
      <c r="J108" s="3">
        <f t="shared" si="6"/>
        <v>-2.5779999999999998</v>
      </c>
      <c r="K108" s="3">
        <f t="shared" si="7"/>
        <v>2.5779999999999998</v>
      </c>
    </row>
    <row r="109" spans="1:11" x14ac:dyDescent="0.2">
      <c r="A109" s="5" t="s">
        <v>93</v>
      </c>
      <c r="B109" s="5">
        <v>93</v>
      </c>
      <c r="C109" s="5" t="s">
        <v>119</v>
      </c>
      <c r="D109" s="5" t="str">
        <f t="shared" si="4"/>
        <v>D E93Q</v>
      </c>
      <c r="E109" s="5">
        <v>-2.0249999999999999</v>
      </c>
      <c r="F109" s="5" t="s">
        <v>95</v>
      </c>
      <c r="G109" s="5" t="s">
        <v>119</v>
      </c>
      <c r="H109" s="5" t="str">
        <f t="shared" si="5"/>
        <v>H E93Q</v>
      </c>
      <c r="I109" s="5">
        <v>-1.26</v>
      </c>
      <c r="J109" s="3">
        <f t="shared" si="6"/>
        <v>-1.6425000000000001</v>
      </c>
      <c r="K109" s="3">
        <f t="shared" si="7"/>
        <v>1.6425000000000001</v>
      </c>
    </row>
    <row r="110" spans="1:11" x14ac:dyDescent="0.2">
      <c r="A110" s="5" t="s">
        <v>93</v>
      </c>
      <c r="B110" s="5">
        <v>104</v>
      </c>
      <c r="C110" s="5" t="s">
        <v>120</v>
      </c>
      <c r="D110" s="5" t="str">
        <f t="shared" si="4"/>
        <v>D G104E</v>
      </c>
      <c r="E110" s="5">
        <v>-0.501</v>
      </c>
      <c r="F110" s="5" t="s">
        <v>95</v>
      </c>
      <c r="G110" s="5" t="s">
        <v>120</v>
      </c>
      <c r="H110" s="5" t="str">
        <f t="shared" si="5"/>
        <v>H G104E</v>
      </c>
      <c r="I110" s="5">
        <v>-0.434</v>
      </c>
      <c r="J110" s="3">
        <f t="shared" si="6"/>
        <v>-0.46750000000000003</v>
      </c>
      <c r="K110" s="3">
        <f t="shared" si="7"/>
        <v>0.46750000000000003</v>
      </c>
    </row>
    <row r="111" spans="1:11" x14ac:dyDescent="0.2">
      <c r="A111" s="5" t="s">
        <v>93</v>
      </c>
      <c r="B111" s="5">
        <v>104</v>
      </c>
      <c r="C111" s="5" t="s">
        <v>121</v>
      </c>
      <c r="D111" s="5" t="str">
        <f t="shared" si="4"/>
        <v>D G104R</v>
      </c>
      <c r="E111" s="5">
        <v>-0.11700000000000001</v>
      </c>
      <c r="F111" s="5" t="s">
        <v>95</v>
      </c>
      <c r="G111" s="5" t="s">
        <v>121</v>
      </c>
      <c r="H111" s="5" t="str">
        <f t="shared" si="5"/>
        <v>H G104R</v>
      </c>
      <c r="I111" s="5">
        <v>-0.109</v>
      </c>
      <c r="J111" s="3">
        <f t="shared" si="6"/>
        <v>-0.113</v>
      </c>
      <c r="K111" s="3">
        <f t="shared" si="7"/>
        <v>0.113</v>
      </c>
    </row>
    <row r="112" spans="1:11" x14ac:dyDescent="0.2">
      <c r="A112" s="5" t="s">
        <v>93</v>
      </c>
      <c r="B112" s="5">
        <v>104</v>
      </c>
      <c r="C112" s="5" t="s">
        <v>122</v>
      </c>
      <c r="D112" s="5" t="str">
        <f t="shared" si="4"/>
        <v>D G104W</v>
      </c>
      <c r="E112" s="5">
        <v>-0.21</v>
      </c>
      <c r="F112" s="5" t="s">
        <v>95</v>
      </c>
      <c r="G112" s="5" t="s">
        <v>122</v>
      </c>
      <c r="H112" s="5" t="str">
        <f t="shared" si="5"/>
        <v>H G104W</v>
      </c>
      <c r="I112" s="5">
        <v>-0.11600000000000001</v>
      </c>
      <c r="J112" s="3">
        <f t="shared" si="6"/>
        <v>-0.16300000000000001</v>
      </c>
      <c r="K112" s="3">
        <f t="shared" si="7"/>
        <v>0.16300000000000001</v>
      </c>
    </row>
    <row r="113" spans="1:11" x14ac:dyDescent="0.2">
      <c r="A113" s="5" t="s">
        <v>93</v>
      </c>
      <c r="B113" s="5">
        <v>113</v>
      </c>
      <c r="C113" s="5" t="s">
        <v>123</v>
      </c>
      <c r="D113" s="5" t="str">
        <f t="shared" si="4"/>
        <v>D E113D</v>
      </c>
      <c r="E113" s="5">
        <v>-0.41299999999999998</v>
      </c>
      <c r="F113" s="5" t="s">
        <v>95</v>
      </c>
      <c r="G113" s="5" t="s">
        <v>123</v>
      </c>
      <c r="H113" s="5" t="str">
        <f t="shared" si="5"/>
        <v>H E113D</v>
      </c>
      <c r="I113" s="5">
        <v>-0.41199999999999998</v>
      </c>
      <c r="J113" s="3">
        <f t="shared" si="6"/>
        <v>-0.41249999999999998</v>
      </c>
      <c r="K113" s="3">
        <f t="shared" si="7"/>
        <v>0.41249999999999998</v>
      </c>
    </row>
    <row r="114" spans="1:11" x14ac:dyDescent="0.2">
      <c r="A114" s="5" t="s">
        <v>93</v>
      </c>
      <c r="B114" s="5">
        <v>113</v>
      </c>
      <c r="C114" s="5" t="s">
        <v>124</v>
      </c>
      <c r="D114" s="5" t="str">
        <f t="shared" si="4"/>
        <v>D E113K</v>
      </c>
      <c r="E114" s="5">
        <v>0.185</v>
      </c>
      <c r="F114" s="5" t="s">
        <v>95</v>
      </c>
      <c r="G114" s="5" t="s">
        <v>124</v>
      </c>
      <c r="H114" s="5" t="str">
        <f t="shared" si="5"/>
        <v>H E113K</v>
      </c>
      <c r="I114" s="5">
        <v>0.121</v>
      </c>
      <c r="J114" s="3">
        <f t="shared" si="6"/>
        <v>0.153</v>
      </c>
      <c r="K114" s="3">
        <f t="shared" si="7"/>
        <v>-0.153</v>
      </c>
    </row>
    <row r="115" spans="1:11" x14ac:dyDescent="0.2">
      <c r="A115" s="5" t="s">
        <v>93</v>
      </c>
      <c r="B115" s="5">
        <v>113</v>
      </c>
      <c r="C115" s="5" t="s">
        <v>125</v>
      </c>
      <c r="D115" s="5" t="str">
        <f t="shared" si="4"/>
        <v>D E113Q</v>
      </c>
      <c r="E115" s="5">
        <v>-0.25900000000000001</v>
      </c>
      <c r="F115" s="5" t="s">
        <v>95</v>
      </c>
      <c r="G115" s="5" t="s">
        <v>125</v>
      </c>
      <c r="H115" s="5" t="str">
        <f t="shared" si="5"/>
        <v>H E113Q</v>
      </c>
      <c r="I115" s="5">
        <v>-0.14199999999999999</v>
      </c>
      <c r="J115" s="3">
        <f t="shared" si="6"/>
        <v>-0.20050000000000001</v>
      </c>
      <c r="K115" s="3">
        <f t="shared" si="7"/>
        <v>0.20050000000000001</v>
      </c>
    </row>
  </sheetData>
  <autoFilter ref="A1:K115" xr:uid="{00000000-0009-0000-0000-000000000000}"/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5"/>
  <sheetViews>
    <sheetView topLeftCell="A46" workbookViewId="0">
      <selection activeCell="M81" sqref="M81"/>
    </sheetView>
  </sheetViews>
  <sheetFormatPr defaultColWidth="9" defaultRowHeight="18.75" x14ac:dyDescent="0.2"/>
  <cols>
    <col min="1" max="1" width="8" style="1" customWidth="1"/>
    <col min="2" max="3" width="6.75" style="1" customWidth="1"/>
    <col min="4" max="4" width="5.5" style="1" customWidth="1"/>
    <col min="5" max="6" width="13.25" style="1" customWidth="1"/>
    <col min="7" max="7" width="8" style="1" customWidth="1"/>
    <col min="8" max="9" width="6.75" style="1" customWidth="1"/>
    <col min="10" max="10" width="5.5" style="1" customWidth="1"/>
    <col min="11" max="12" width="13.25" style="1" customWidth="1"/>
    <col min="13" max="13" width="10.5" style="3" customWidth="1"/>
  </cols>
  <sheetData>
    <row r="1" spans="1:13" x14ac:dyDescent="0.2">
      <c r="A1" s="1" t="s">
        <v>0</v>
      </c>
      <c r="B1" s="1" t="s">
        <v>126</v>
      </c>
      <c r="C1" s="1" t="s">
        <v>1</v>
      </c>
      <c r="D1" s="1" t="s">
        <v>127</v>
      </c>
      <c r="E1" s="1" t="s">
        <v>3</v>
      </c>
      <c r="F1" s="1" t="s">
        <v>128</v>
      </c>
      <c r="G1" s="1" t="s">
        <v>0</v>
      </c>
      <c r="H1" s="1" t="s">
        <v>126</v>
      </c>
      <c r="I1" s="1" t="s">
        <v>1</v>
      </c>
      <c r="J1" s="1" t="s">
        <v>127</v>
      </c>
      <c r="K1" s="1" t="s">
        <v>3</v>
      </c>
      <c r="L1" s="1" t="s">
        <v>128</v>
      </c>
      <c r="M1" s="3" t="s">
        <v>6</v>
      </c>
    </row>
    <row r="2" spans="1:13" x14ac:dyDescent="0.2">
      <c r="A2" s="1" t="s">
        <v>7</v>
      </c>
      <c r="B2" s="1" t="s">
        <v>129</v>
      </c>
      <c r="C2" s="1">
        <v>40</v>
      </c>
      <c r="D2" s="1" t="s">
        <v>71</v>
      </c>
      <c r="E2" s="1" t="str">
        <f t="shared" ref="E2:E65" si="0">A2&amp;" "&amp;C2&amp;" "&amp;B2&amp;" "&amp;D2</f>
        <v>A 40 R C</v>
      </c>
      <c r="F2" s="1">
        <v>0.55000000000000004</v>
      </c>
      <c r="G2" s="1" t="s">
        <v>9</v>
      </c>
      <c r="H2" s="1" t="s">
        <v>129</v>
      </c>
      <c r="I2" s="1">
        <v>40</v>
      </c>
      <c r="J2" s="1" t="s">
        <v>71</v>
      </c>
      <c r="K2" s="1" t="str">
        <f t="shared" ref="K2:K65" si="1">G2&amp;" "&amp;I2&amp;" "&amp;H2&amp;" "&amp;J2</f>
        <v>E 40 R C</v>
      </c>
      <c r="L2" s="1">
        <v>0.46</v>
      </c>
      <c r="M2" s="3">
        <f t="shared" ref="M2:M65" si="2">AVERAGE(F2,L2)</f>
        <v>0.505</v>
      </c>
    </row>
    <row r="3" spans="1:13" x14ac:dyDescent="0.2">
      <c r="A3" s="1" t="s">
        <v>7</v>
      </c>
      <c r="B3" s="1" t="s">
        <v>129</v>
      </c>
      <c r="C3" s="1">
        <v>40</v>
      </c>
      <c r="D3" s="1" t="s">
        <v>73</v>
      </c>
      <c r="E3" s="1" t="str">
        <f t="shared" si="0"/>
        <v>A 40 R G</v>
      </c>
      <c r="F3" s="1">
        <v>0.9</v>
      </c>
      <c r="G3" s="1" t="s">
        <v>9</v>
      </c>
      <c r="H3" s="1" t="s">
        <v>129</v>
      </c>
      <c r="I3" s="1">
        <v>40</v>
      </c>
      <c r="J3" s="1" t="s">
        <v>73</v>
      </c>
      <c r="K3" s="1" t="str">
        <f t="shared" si="1"/>
        <v>E 40 R G</v>
      </c>
      <c r="L3" s="1">
        <v>0.83</v>
      </c>
      <c r="M3" s="3">
        <f t="shared" si="2"/>
        <v>0.86499999999999999</v>
      </c>
    </row>
    <row r="4" spans="1:13" x14ac:dyDescent="0.2">
      <c r="A4" s="1" t="s">
        <v>7</v>
      </c>
      <c r="B4" s="1" t="s">
        <v>129</v>
      </c>
      <c r="C4" s="1">
        <v>40</v>
      </c>
      <c r="D4" s="1" t="s">
        <v>130</v>
      </c>
      <c r="E4" s="1" t="str">
        <f t="shared" si="0"/>
        <v>A 40 R S</v>
      </c>
      <c r="F4" s="1">
        <v>0.49</v>
      </c>
      <c r="G4" s="1" t="s">
        <v>9</v>
      </c>
      <c r="H4" s="1" t="s">
        <v>129</v>
      </c>
      <c r="I4" s="1">
        <v>40</v>
      </c>
      <c r="J4" s="1" t="s">
        <v>130</v>
      </c>
      <c r="K4" s="1" t="str">
        <f t="shared" si="1"/>
        <v>E 40 R S</v>
      </c>
      <c r="L4" s="1">
        <v>0.4</v>
      </c>
      <c r="M4" s="3">
        <f t="shared" si="2"/>
        <v>0.44500000000000001</v>
      </c>
    </row>
    <row r="5" spans="1:13" x14ac:dyDescent="0.2">
      <c r="A5" s="1" t="s">
        <v>7</v>
      </c>
      <c r="B5" s="1" t="s">
        <v>9</v>
      </c>
      <c r="C5" s="1">
        <v>50</v>
      </c>
      <c r="D5" s="1" t="s">
        <v>93</v>
      </c>
      <c r="E5" s="1" t="str">
        <f t="shared" si="0"/>
        <v>A 50 E D</v>
      </c>
      <c r="F5" s="1">
        <v>0.94</v>
      </c>
      <c r="G5" s="1" t="s">
        <v>9</v>
      </c>
      <c r="H5" s="1" t="s">
        <v>9</v>
      </c>
      <c r="I5" s="1">
        <v>50</v>
      </c>
      <c r="J5" s="1" t="s">
        <v>93</v>
      </c>
      <c r="K5" s="1" t="str">
        <f t="shared" si="1"/>
        <v>E 50 E D</v>
      </c>
      <c r="L5" s="1">
        <v>0.94</v>
      </c>
      <c r="M5" s="3">
        <f t="shared" si="2"/>
        <v>0.94</v>
      </c>
    </row>
    <row r="6" spans="1:13" x14ac:dyDescent="0.2">
      <c r="A6" s="1" t="s">
        <v>7</v>
      </c>
      <c r="B6" s="1" t="s">
        <v>9</v>
      </c>
      <c r="C6" s="1">
        <v>50</v>
      </c>
      <c r="D6" s="1" t="s">
        <v>73</v>
      </c>
      <c r="E6" s="1" t="str">
        <f t="shared" si="0"/>
        <v>A 50 E G</v>
      </c>
      <c r="F6" s="1">
        <v>0.89</v>
      </c>
      <c r="G6" s="1" t="s">
        <v>9</v>
      </c>
      <c r="H6" s="1" t="s">
        <v>9</v>
      </c>
      <c r="I6" s="1">
        <v>50</v>
      </c>
      <c r="J6" s="1" t="s">
        <v>73</v>
      </c>
      <c r="K6" s="1" t="str">
        <f t="shared" si="1"/>
        <v>E 50 E G</v>
      </c>
      <c r="L6" s="1">
        <v>0.89</v>
      </c>
      <c r="M6" s="3">
        <f t="shared" si="2"/>
        <v>0.89</v>
      </c>
    </row>
    <row r="7" spans="1:13" x14ac:dyDescent="0.2">
      <c r="A7" s="1" t="s">
        <v>7</v>
      </c>
      <c r="B7" s="1" t="s">
        <v>9</v>
      </c>
      <c r="C7" s="1">
        <v>50</v>
      </c>
      <c r="D7" s="1" t="s">
        <v>131</v>
      </c>
      <c r="E7" s="1" t="str">
        <f t="shared" si="0"/>
        <v>A 50 E K</v>
      </c>
      <c r="F7" s="1">
        <v>0.93</v>
      </c>
      <c r="G7" s="1" t="s">
        <v>9</v>
      </c>
      <c r="H7" s="1" t="s">
        <v>9</v>
      </c>
      <c r="I7" s="1">
        <v>50</v>
      </c>
      <c r="J7" s="1" t="s">
        <v>131</v>
      </c>
      <c r="K7" s="1" t="str">
        <f t="shared" si="1"/>
        <v>E 50 E K</v>
      </c>
      <c r="L7" s="1">
        <v>0.93</v>
      </c>
      <c r="M7" s="3">
        <f t="shared" si="2"/>
        <v>0.93</v>
      </c>
    </row>
    <row r="8" spans="1:13" x14ac:dyDescent="0.2">
      <c r="A8" s="1" t="s">
        <v>7</v>
      </c>
      <c r="B8" s="1" t="s">
        <v>9</v>
      </c>
      <c r="C8" s="1">
        <v>50</v>
      </c>
      <c r="D8" s="1" t="s">
        <v>132</v>
      </c>
      <c r="E8" s="1" t="str">
        <f t="shared" si="0"/>
        <v>A 50 E Q</v>
      </c>
      <c r="F8" s="1">
        <v>1.06</v>
      </c>
      <c r="G8" s="1" t="s">
        <v>9</v>
      </c>
      <c r="H8" s="1" t="s">
        <v>9</v>
      </c>
      <c r="I8" s="1">
        <v>50</v>
      </c>
      <c r="J8" s="1" t="s">
        <v>132</v>
      </c>
      <c r="K8" s="1" t="str">
        <f t="shared" si="1"/>
        <v>E 50 E Q</v>
      </c>
      <c r="L8" s="1">
        <v>1.06</v>
      </c>
      <c r="M8" s="3">
        <f t="shared" si="2"/>
        <v>1.06</v>
      </c>
    </row>
    <row r="9" spans="1:13" x14ac:dyDescent="0.2">
      <c r="A9" s="1" t="s">
        <v>7</v>
      </c>
      <c r="B9" s="1" t="s">
        <v>129</v>
      </c>
      <c r="C9" s="1">
        <v>52</v>
      </c>
      <c r="D9" s="1" t="s">
        <v>71</v>
      </c>
      <c r="E9" s="1" t="str">
        <f t="shared" si="0"/>
        <v>A 52 R C</v>
      </c>
      <c r="F9" s="1">
        <v>0.85</v>
      </c>
      <c r="G9" s="1" t="s">
        <v>9</v>
      </c>
      <c r="H9" s="1" t="s">
        <v>129</v>
      </c>
      <c r="I9" s="1">
        <v>52</v>
      </c>
      <c r="J9" s="1" t="s">
        <v>71</v>
      </c>
      <c r="K9" s="1" t="str">
        <f t="shared" si="1"/>
        <v>E 52 R C</v>
      </c>
      <c r="L9" s="1">
        <v>0.85</v>
      </c>
      <c r="M9" s="3">
        <f t="shared" si="2"/>
        <v>0.85</v>
      </c>
    </row>
    <row r="10" spans="1:13" x14ac:dyDescent="0.2">
      <c r="A10" s="1" t="s">
        <v>7</v>
      </c>
      <c r="B10" s="1" t="s">
        <v>129</v>
      </c>
      <c r="C10" s="1">
        <v>52</v>
      </c>
      <c r="D10" s="1" t="s">
        <v>95</v>
      </c>
      <c r="E10" s="1" t="str">
        <f t="shared" si="0"/>
        <v>A 52 R H</v>
      </c>
      <c r="F10" s="1">
        <v>0.87</v>
      </c>
      <c r="G10" s="1" t="s">
        <v>9</v>
      </c>
      <c r="H10" s="1" t="s">
        <v>129</v>
      </c>
      <c r="I10" s="1">
        <v>52</v>
      </c>
      <c r="J10" s="1" t="s">
        <v>95</v>
      </c>
      <c r="K10" s="1" t="str">
        <f t="shared" si="1"/>
        <v>E 52 R H</v>
      </c>
      <c r="L10" s="1">
        <v>0.87</v>
      </c>
      <c r="M10" s="3">
        <f t="shared" si="2"/>
        <v>0.87</v>
      </c>
    </row>
    <row r="11" spans="1:13" x14ac:dyDescent="0.2">
      <c r="A11" s="1" t="s">
        <v>7</v>
      </c>
      <c r="B11" s="1" t="s">
        <v>129</v>
      </c>
      <c r="C11" s="1">
        <v>52</v>
      </c>
      <c r="D11" s="1" t="s">
        <v>133</v>
      </c>
      <c r="E11" s="1" t="str">
        <f t="shared" si="0"/>
        <v>A 52 R L</v>
      </c>
      <c r="F11" s="1">
        <v>0.69</v>
      </c>
      <c r="G11" s="1" t="s">
        <v>9</v>
      </c>
      <c r="H11" s="1" t="s">
        <v>129</v>
      </c>
      <c r="I11" s="1">
        <v>52</v>
      </c>
      <c r="J11" s="1" t="s">
        <v>133</v>
      </c>
      <c r="K11" s="1" t="str">
        <f t="shared" si="1"/>
        <v>E 52 R L</v>
      </c>
      <c r="L11" s="1">
        <v>0.69</v>
      </c>
      <c r="M11" s="3">
        <f t="shared" si="2"/>
        <v>0.69</v>
      </c>
    </row>
    <row r="12" spans="1:13" x14ac:dyDescent="0.2">
      <c r="A12" s="1" t="s">
        <v>7</v>
      </c>
      <c r="B12" s="1" t="s">
        <v>129</v>
      </c>
      <c r="C12" s="1">
        <v>52</v>
      </c>
      <c r="D12" s="1" t="s">
        <v>134</v>
      </c>
      <c r="E12" s="1" t="str">
        <f t="shared" si="0"/>
        <v>A 52 R P</v>
      </c>
      <c r="F12" s="1">
        <v>2.56</v>
      </c>
      <c r="G12" s="1" t="s">
        <v>9</v>
      </c>
      <c r="H12" s="1" t="s">
        <v>129</v>
      </c>
      <c r="I12" s="1">
        <v>52</v>
      </c>
      <c r="J12" s="1" t="s">
        <v>134</v>
      </c>
      <c r="K12" s="1" t="str">
        <f t="shared" si="1"/>
        <v>E 52 R P</v>
      </c>
      <c r="L12" s="1">
        <v>2.56</v>
      </c>
      <c r="M12" s="3">
        <f t="shared" si="2"/>
        <v>2.56</v>
      </c>
    </row>
    <row r="13" spans="1:13" x14ac:dyDescent="0.2">
      <c r="A13" s="1" t="s">
        <v>7</v>
      </c>
      <c r="B13" s="1" t="s">
        <v>129</v>
      </c>
      <c r="C13" s="1">
        <v>72</v>
      </c>
      <c r="D13" s="1" t="s">
        <v>71</v>
      </c>
      <c r="E13" s="1" t="str">
        <f t="shared" si="0"/>
        <v>A 72 R C</v>
      </c>
      <c r="F13" s="1">
        <v>0.45</v>
      </c>
      <c r="G13" s="1" t="s">
        <v>9</v>
      </c>
      <c r="H13" s="1" t="s">
        <v>129</v>
      </c>
      <c r="I13" s="1">
        <v>72</v>
      </c>
      <c r="J13" s="1" t="s">
        <v>71</v>
      </c>
      <c r="K13" s="1" t="str">
        <f t="shared" si="1"/>
        <v>E 72 R C</v>
      </c>
      <c r="L13" s="1">
        <v>0.56999999999999995</v>
      </c>
      <c r="M13" s="3">
        <f t="shared" si="2"/>
        <v>0.51</v>
      </c>
    </row>
    <row r="14" spans="1:13" x14ac:dyDescent="0.2">
      <c r="A14" s="1" t="s">
        <v>7</v>
      </c>
      <c r="B14" s="1" t="s">
        <v>129</v>
      </c>
      <c r="C14" s="1">
        <v>72</v>
      </c>
      <c r="D14" s="1" t="s">
        <v>133</v>
      </c>
      <c r="E14" s="1" t="str">
        <f t="shared" si="0"/>
        <v>A 72 R L</v>
      </c>
      <c r="F14" s="1">
        <v>0.54</v>
      </c>
      <c r="G14" s="1" t="s">
        <v>9</v>
      </c>
      <c r="H14" s="1" t="s">
        <v>129</v>
      </c>
      <c r="I14" s="1">
        <v>72</v>
      </c>
      <c r="J14" s="1" t="s">
        <v>133</v>
      </c>
      <c r="K14" s="1" t="str">
        <f t="shared" si="1"/>
        <v>E 72 R L</v>
      </c>
      <c r="L14" s="1">
        <v>0.65</v>
      </c>
      <c r="M14" s="3">
        <f t="shared" si="2"/>
        <v>0.59499999999999997</v>
      </c>
    </row>
    <row r="15" spans="1:13" x14ac:dyDescent="0.2">
      <c r="A15" s="1" t="s">
        <v>7</v>
      </c>
      <c r="B15" s="1" t="s">
        <v>129</v>
      </c>
      <c r="C15" s="1">
        <v>72</v>
      </c>
      <c r="D15" s="1" t="s">
        <v>135</v>
      </c>
      <c r="E15" s="1" t="str">
        <f t="shared" si="0"/>
        <v>A 72 R M</v>
      </c>
      <c r="F15" s="1">
        <v>0.8</v>
      </c>
      <c r="G15" s="1" t="s">
        <v>9</v>
      </c>
      <c r="H15" s="1" t="s">
        <v>129</v>
      </c>
      <c r="I15" s="1">
        <v>72</v>
      </c>
      <c r="J15" s="1" t="s">
        <v>135</v>
      </c>
      <c r="K15" s="1" t="str">
        <f t="shared" si="1"/>
        <v>E 72 R M</v>
      </c>
      <c r="L15" s="1">
        <v>0.93</v>
      </c>
      <c r="M15" s="3">
        <f t="shared" si="2"/>
        <v>0.86499999999999999</v>
      </c>
    </row>
    <row r="16" spans="1:13" x14ac:dyDescent="0.2">
      <c r="A16" s="1" t="s">
        <v>7</v>
      </c>
      <c r="B16" s="1" t="s">
        <v>129</v>
      </c>
      <c r="C16" s="1">
        <v>72</v>
      </c>
      <c r="D16" s="1" t="s">
        <v>134</v>
      </c>
      <c r="E16" s="1" t="str">
        <f t="shared" si="0"/>
        <v>A 72 R P</v>
      </c>
      <c r="F16" s="1">
        <v>2.1800000000000002</v>
      </c>
      <c r="G16" s="1" t="s">
        <v>9</v>
      </c>
      <c r="H16" s="1" t="s">
        <v>129</v>
      </c>
      <c r="I16" s="1">
        <v>72</v>
      </c>
      <c r="J16" s="1" t="s">
        <v>134</v>
      </c>
      <c r="K16" s="1" t="str">
        <f t="shared" si="1"/>
        <v>E 72 R P</v>
      </c>
      <c r="L16" s="1">
        <v>2.44</v>
      </c>
      <c r="M16" s="3">
        <f t="shared" si="2"/>
        <v>2.31</v>
      </c>
    </row>
    <row r="17" spans="1:13" x14ac:dyDescent="0.2">
      <c r="A17" s="1" t="s">
        <v>7</v>
      </c>
      <c r="B17" s="1" t="s">
        <v>129</v>
      </c>
      <c r="C17" s="1">
        <v>72</v>
      </c>
      <c r="D17" s="1" t="s">
        <v>132</v>
      </c>
      <c r="E17" s="1" t="str">
        <f t="shared" si="0"/>
        <v>A 72 R Q</v>
      </c>
      <c r="F17" s="1">
        <v>0.62</v>
      </c>
      <c r="G17" s="1" t="s">
        <v>9</v>
      </c>
      <c r="H17" s="1" t="s">
        <v>129</v>
      </c>
      <c r="I17" s="1">
        <v>72</v>
      </c>
      <c r="J17" s="1" t="s">
        <v>132</v>
      </c>
      <c r="K17" s="1" t="str">
        <f t="shared" si="1"/>
        <v>E 72 R Q</v>
      </c>
      <c r="L17" s="1">
        <v>0.8</v>
      </c>
      <c r="M17" s="3">
        <f t="shared" si="2"/>
        <v>0.71</v>
      </c>
    </row>
    <row r="18" spans="1:13" x14ac:dyDescent="0.2">
      <c r="A18" s="1" t="s">
        <v>7</v>
      </c>
      <c r="B18" s="1" t="s">
        <v>9</v>
      </c>
      <c r="C18" s="1">
        <v>73</v>
      </c>
      <c r="D18" s="1" t="s">
        <v>93</v>
      </c>
      <c r="E18" s="1" t="str">
        <f t="shared" si="0"/>
        <v>A 73 E D</v>
      </c>
      <c r="F18" s="1">
        <v>0.6</v>
      </c>
      <c r="G18" s="1" t="s">
        <v>9</v>
      </c>
      <c r="H18" s="1" t="s">
        <v>9</v>
      </c>
      <c r="I18" s="1">
        <v>73</v>
      </c>
      <c r="J18" s="1" t="s">
        <v>93</v>
      </c>
      <c r="K18" s="1" t="str">
        <f t="shared" si="1"/>
        <v>E 73 E D</v>
      </c>
      <c r="L18" s="1">
        <v>0.52</v>
      </c>
      <c r="M18" s="3">
        <f t="shared" si="2"/>
        <v>0.56000000000000005</v>
      </c>
    </row>
    <row r="19" spans="1:13" x14ac:dyDescent="0.2">
      <c r="A19" s="1" t="s">
        <v>7</v>
      </c>
      <c r="B19" s="1" t="s">
        <v>9</v>
      </c>
      <c r="C19" s="1">
        <v>73</v>
      </c>
      <c r="D19" s="1" t="s">
        <v>131</v>
      </c>
      <c r="E19" s="1" t="str">
        <f t="shared" si="0"/>
        <v>A 73 E K</v>
      </c>
      <c r="F19" s="1">
        <v>0.48</v>
      </c>
      <c r="G19" s="1" t="s">
        <v>9</v>
      </c>
      <c r="H19" s="1" t="s">
        <v>9</v>
      </c>
      <c r="I19" s="1">
        <v>73</v>
      </c>
      <c r="J19" s="1" t="s">
        <v>131</v>
      </c>
      <c r="K19" s="1" t="str">
        <f t="shared" si="1"/>
        <v>E 73 E K</v>
      </c>
      <c r="L19" s="1">
        <v>0.6</v>
      </c>
      <c r="M19" s="3">
        <f t="shared" si="2"/>
        <v>0.54</v>
      </c>
    </row>
    <row r="20" spans="1:13" x14ac:dyDescent="0.2">
      <c r="A20" s="1" t="s">
        <v>7</v>
      </c>
      <c r="B20" s="1" t="s">
        <v>9</v>
      </c>
      <c r="C20" s="1">
        <v>73</v>
      </c>
      <c r="D20" s="1" t="s">
        <v>132</v>
      </c>
      <c r="E20" s="1" t="str">
        <f t="shared" si="0"/>
        <v>A 73 E Q</v>
      </c>
      <c r="F20" s="1">
        <v>0.74</v>
      </c>
      <c r="G20" s="1" t="s">
        <v>9</v>
      </c>
      <c r="H20" s="1" t="s">
        <v>9</v>
      </c>
      <c r="I20" s="1">
        <v>73</v>
      </c>
      <c r="J20" s="1" t="s">
        <v>132</v>
      </c>
      <c r="K20" s="1" t="str">
        <f t="shared" si="1"/>
        <v>E 73 E Q</v>
      </c>
      <c r="L20" s="1">
        <v>0.69</v>
      </c>
      <c r="M20" s="3">
        <f t="shared" si="2"/>
        <v>0.71499999999999997</v>
      </c>
    </row>
    <row r="21" spans="1:13" x14ac:dyDescent="0.2">
      <c r="A21" s="1" t="s">
        <v>7</v>
      </c>
      <c r="B21" s="1" t="s">
        <v>93</v>
      </c>
      <c r="C21" s="1">
        <v>77</v>
      </c>
      <c r="D21" s="1" t="s">
        <v>9</v>
      </c>
      <c r="E21" s="1" t="str">
        <f t="shared" si="0"/>
        <v>A 77 D E</v>
      </c>
      <c r="F21" s="1">
        <v>1.02</v>
      </c>
      <c r="G21" s="1" t="s">
        <v>9</v>
      </c>
      <c r="H21" s="1" t="s">
        <v>93</v>
      </c>
      <c r="I21" s="1">
        <v>77</v>
      </c>
      <c r="J21" s="1" t="s">
        <v>9</v>
      </c>
      <c r="K21" s="1" t="str">
        <f t="shared" si="1"/>
        <v>E 77 D E</v>
      </c>
      <c r="L21" s="1">
        <v>0.8</v>
      </c>
      <c r="M21" s="3">
        <f t="shared" si="2"/>
        <v>0.91</v>
      </c>
    </row>
    <row r="22" spans="1:13" x14ac:dyDescent="0.2">
      <c r="A22" s="1" t="s">
        <v>7</v>
      </c>
      <c r="B22" s="1" t="s">
        <v>93</v>
      </c>
      <c r="C22" s="1">
        <v>77</v>
      </c>
      <c r="D22" s="1" t="s">
        <v>95</v>
      </c>
      <c r="E22" s="1" t="str">
        <f t="shared" si="0"/>
        <v>A 77 D H</v>
      </c>
      <c r="F22" s="1">
        <v>0.73</v>
      </c>
      <c r="G22" s="1" t="s">
        <v>9</v>
      </c>
      <c r="H22" s="1" t="s">
        <v>93</v>
      </c>
      <c r="I22" s="1">
        <v>77</v>
      </c>
      <c r="J22" s="1" t="s">
        <v>95</v>
      </c>
      <c r="K22" s="1" t="str">
        <f t="shared" si="1"/>
        <v>E 77 D H</v>
      </c>
      <c r="L22" s="1">
        <v>0.55000000000000004</v>
      </c>
      <c r="M22" s="3">
        <f t="shared" si="2"/>
        <v>0.64</v>
      </c>
    </row>
    <row r="23" spans="1:13" x14ac:dyDescent="0.2">
      <c r="A23" s="1" t="s">
        <v>7</v>
      </c>
      <c r="B23" s="1" t="s">
        <v>93</v>
      </c>
      <c r="C23" s="1">
        <v>77</v>
      </c>
      <c r="D23" s="1" t="s">
        <v>136</v>
      </c>
      <c r="E23" s="1" t="str">
        <f t="shared" si="0"/>
        <v>A 77 D N</v>
      </c>
      <c r="F23" s="1">
        <v>1.2</v>
      </c>
      <c r="G23" s="1" t="s">
        <v>9</v>
      </c>
      <c r="H23" s="1" t="s">
        <v>93</v>
      </c>
      <c r="I23" s="1">
        <v>77</v>
      </c>
      <c r="J23" s="1" t="s">
        <v>136</v>
      </c>
      <c r="K23" s="1" t="str">
        <f t="shared" si="1"/>
        <v>E 77 D N</v>
      </c>
      <c r="L23" s="1">
        <v>1.01</v>
      </c>
      <c r="M23" s="3">
        <f t="shared" si="2"/>
        <v>1.105</v>
      </c>
    </row>
    <row r="24" spans="1:13" x14ac:dyDescent="0.2">
      <c r="A24" s="1" t="s">
        <v>7</v>
      </c>
      <c r="B24" s="1" t="s">
        <v>93</v>
      </c>
      <c r="C24" s="1">
        <v>77</v>
      </c>
      <c r="D24" s="1" t="s">
        <v>137</v>
      </c>
      <c r="E24" s="1" t="str">
        <f t="shared" si="0"/>
        <v>A 77 D V</v>
      </c>
      <c r="F24" s="1">
        <v>0.42</v>
      </c>
      <c r="G24" s="1" t="s">
        <v>9</v>
      </c>
      <c r="H24" s="1" t="s">
        <v>93</v>
      </c>
      <c r="I24" s="1">
        <v>77</v>
      </c>
      <c r="J24" s="1" t="s">
        <v>137</v>
      </c>
      <c r="K24" s="1" t="str">
        <f t="shared" si="1"/>
        <v>E 77 D V</v>
      </c>
      <c r="L24" s="1">
        <v>0.32</v>
      </c>
      <c r="M24" s="3">
        <f t="shared" si="2"/>
        <v>0.37</v>
      </c>
    </row>
    <row r="25" spans="1:13" x14ac:dyDescent="0.2">
      <c r="A25" s="1" t="s">
        <v>7</v>
      </c>
      <c r="B25" s="1" t="s">
        <v>93</v>
      </c>
      <c r="C25" s="1">
        <v>81</v>
      </c>
      <c r="D25" s="1" t="s">
        <v>9</v>
      </c>
      <c r="E25" s="1" t="str">
        <f t="shared" si="0"/>
        <v>A 81 D E</v>
      </c>
      <c r="F25" s="1">
        <v>0.67</v>
      </c>
      <c r="G25" s="1" t="s">
        <v>9</v>
      </c>
      <c r="H25" s="1" t="s">
        <v>93</v>
      </c>
      <c r="I25" s="1">
        <v>81</v>
      </c>
      <c r="J25" s="1" t="s">
        <v>9</v>
      </c>
      <c r="K25" s="1" t="str">
        <f t="shared" si="1"/>
        <v>E 81 D E</v>
      </c>
      <c r="L25" s="1">
        <v>0.67</v>
      </c>
      <c r="M25" s="3">
        <f t="shared" si="2"/>
        <v>0.67</v>
      </c>
    </row>
    <row r="26" spans="1:13" x14ac:dyDescent="0.2">
      <c r="A26" s="1" t="s">
        <v>7</v>
      </c>
      <c r="B26" s="1" t="s">
        <v>93</v>
      </c>
      <c r="C26" s="1">
        <v>81</v>
      </c>
      <c r="D26" s="1" t="s">
        <v>95</v>
      </c>
      <c r="E26" s="1" t="str">
        <f t="shared" si="0"/>
        <v>A 81 D H</v>
      </c>
      <c r="F26" s="1">
        <v>0.61</v>
      </c>
      <c r="G26" s="1" t="s">
        <v>9</v>
      </c>
      <c r="H26" s="1" t="s">
        <v>93</v>
      </c>
      <c r="I26" s="1">
        <v>81</v>
      </c>
      <c r="J26" s="1" t="s">
        <v>95</v>
      </c>
      <c r="K26" s="1" t="str">
        <f t="shared" si="1"/>
        <v>E 81 D H</v>
      </c>
      <c r="L26" s="1">
        <v>0.61</v>
      </c>
      <c r="M26" s="3">
        <f t="shared" si="2"/>
        <v>0.61</v>
      </c>
    </row>
    <row r="27" spans="1:13" x14ac:dyDescent="0.2">
      <c r="A27" s="1" t="s">
        <v>7</v>
      </c>
      <c r="B27" s="1" t="s">
        <v>93</v>
      </c>
      <c r="C27" s="1">
        <v>81</v>
      </c>
      <c r="D27" s="1" t="s">
        <v>136</v>
      </c>
      <c r="E27" s="1" t="str">
        <f t="shared" si="0"/>
        <v>A 81 D N</v>
      </c>
      <c r="F27" s="1">
        <v>0.97</v>
      </c>
      <c r="G27" s="1" t="s">
        <v>9</v>
      </c>
      <c r="H27" s="1" t="s">
        <v>93</v>
      </c>
      <c r="I27" s="1">
        <v>81</v>
      </c>
      <c r="J27" s="1" t="s">
        <v>136</v>
      </c>
      <c r="K27" s="1" t="str">
        <f t="shared" si="1"/>
        <v>E 81 D N</v>
      </c>
      <c r="L27" s="1">
        <v>0.97</v>
      </c>
      <c r="M27" s="3">
        <f t="shared" si="2"/>
        <v>0.97</v>
      </c>
    </row>
    <row r="28" spans="1:13" x14ac:dyDescent="0.2">
      <c r="A28" s="1" t="s">
        <v>7</v>
      </c>
      <c r="B28" s="1" t="s">
        <v>93</v>
      </c>
      <c r="C28" s="1">
        <v>81</v>
      </c>
      <c r="D28" s="1" t="s">
        <v>137</v>
      </c>
      <c r="E28" s="1" t="str">
        <f t="shared" si="0"/>
        <v>A 81 D V</v>
      </c>
      <c r="F28" s="1">
        <v>0.42</v>
      </c>
      <c r="G28" s="1" t="s">
        <v>9</v>
      </c>
      <c r="H28" s="1" t="s">
        <v>93</v>
      </c>
      <c r="I28" s="1">
        <v>81</v>
      </c>
      <c r="J28" s="1" t="s">
        <v>137</v>
      </c>
      <c r="K28" s="1" t="str">
        <f t="shared" si="1"/>
        <v>E 81 D V</v>
      </c>
      <c r="L28" s="1">
        <v>0.42</v>
      </c>
      <c r="M28" s="3">
        <f t="shared" si="2"/>
        <v>0.42</v>
      </c>
    </row>
    <row r="29" spans="1:13" x14ac:dyDescent="0.2">
      <c r="A29" s="1" t="s">
        <v>7</v>
      </c>
      <c r="B29" s="1" t="s">
        <v>129</v>
      </c>
      <c r="C29" s="1">
        <v>83</v>
      </c>
      <c r="D29" s="1" t="s">
        <v>71</v>
      </c>
      <c r="E29" s="1" t="str">
        <f t="shared" si="0"/>
        <v>A 83 R C</v>
      </c>
      <c r="F29" s="1">
        <v>1.1000000000000001</v>
      </c>
      <c r="G29" s="1" t="s">
        <v>9</v>
      </c>
      <c r="H29" s="1" t="s">
        <v>129</v>
      </c>
      <c r="I29" s="1">
        <v>83</v>
      </c>
      <c r="J29" s="1" t="s">
        <v>71</v>
      </c>
      <c r="K29" s="1" t="str">
        <f t="shared" si="1"/>
        <v>E 83 R C</v>
      </c>
      <c r="L29" s="1">
        <v>1.04</v>
      </c>
      <c r="M29" s="3">
        <f t="shared" si="2"/>
        <v>1.07</v>
      </c>
    </row>
    <row r="30" spans="1:13" x14ac:dyDescent="0.2">
      <c r="A30" s="1" t="s">
        <v>7</v>
      </c>
      <c r="B30" s="1" t="s">
        <v>129</v>
      </c>
      <c r="C30" s="1">
        <v>83</v>
      </c>
      <c r="D30" s="1" t="s">
        <v>130</v>
      </c>
      <c r="E30" s="1" t="str">
        <f t="shared" si="0"/>
        <v>A 83 R S</v>
      </c>
      <c r="F30" s="1">
        <v>1.0900000000000001</v>
      </c>
      <c r="G30" s="1" t="s">
        <v>9</v>
      </c>
      <c r="H30" s="1" t="s">
        <v>129</v>
      </c>
      <c r="I30" s="1">
        <v>83</v>
      </c>
      <c r="J30" s="1" t="s">
        <v>130</v>
      </c>
      <c r="K30" s="1" t="str">
        <f t="shared" si="1"/>
        <v>E 83 R S</v>
      </c>
      <c r="L30" s="1">
        <v>1.1000000000000001</v>
      </c>
      <c r="M30" s="3">
        <f t="shared" si="2"/>
        <v>1.095</v>
      </c>
    </row>
    <row r="31" spans="1:13" x14ac:dyDescent="0.2">
      <c r="A31" s="1" t="s">
        <v>7</v>
      </c>
      <c r="B31" s="1" t="s">
        <v>9</v>
      </c>
      <c r="C31" s="1">
        <v>97</v>
      </c>
      <c r="D31" s="1" t="s">
        <v>131</v>
      </c>
      <c r="E31" s="1" t="str">
        <f t="shared" si="0"/>
        <v>A 97 E K</v>
      </c>
      <c r="F31" s="1">
        <v>0.85</v>
      </c>
      <c r="G31" s="1" t="s">
        <v>9</v>
      </c>
      <c r="H31" s="1" t="s">
        <v>9</v>
      </c>
      <c r="I31" s="1">
        <v>97</v>
      </c>
      <c r="J31" s="1" t="s">
        <v>131</v>
      </c>
      <c r="K31" s="1" t="str">
        <f t="shared" si="1"/>
        <v>E 97 E K</v>
      </c>
      <c r="L31" s="1">
        <v>0.9</v>
      </c>
      <c r="M31" s="3">
        <f t="shared" si="2"/>
        <v>0.875</v>
      </c>
    </row>
    <row r="32" spans="1:13" x14ac:dyDescent="0.2">
      <c r="A32" s="1" t="s">
        <v>7</v>
      </c>
      <c r="B32" s="1" t="s">
        <v>9</v>
      </c>
      <c r="C32" s="1">
        <v>97</v>
      </c>
      <c r="D32" s="1" t="s">
        <v>132</v>
      </c>
      <c r="E32" s="1" t="str">
        <f t="shared" si="0"/>
        <v>A 97 E Q</v>
      </c>
      <c r="F32" s="1">
        <v>1.17</v>
      </c>
      <c r="G32" s="1" t="s">
        <v>9</v>
      </c>
      <c r="H32" s="1" t="s">
        <v>9</v>
      </c>
      <c r="I32" s="1">
        <v>97</v>
      </c>
      <c r="J32" s="1" t="s">
        <v>132</v>
      </c>
      <c r="K32" s="1" t="str">
        <f t="shared" si="1"/>
        <v>E 97 E Q</v>
      </c>
      <c r="L32" s="1">
        <v>1.23</v>
      </c>
      <c r="M32" s="3">
        <f t="shared" si="2"/>
        <v>1.2</v>
      </c>
    </row>
    <row r="33" spans="1:13" x14ac:dyDescent="0.2">
      <c r="A33" s="1" t="s">
        <v>7</v>
      </c>
      <c r="B33" s="1" t="s">
        <v>9</v>
      </c>
      <c r="C33" s="1">
        <v>105</v>
      </c>
      <c r="D33" s="1" t="s">
        <v>93</v>
      </c>
      <c r="E33" s="1" t="str">
        <f t="shared" si="0"/>
        <v>A 105 E D</v>
      </c>
      <c r="F33" s="1">
        <v>0.87</v>
      </c>
      <c r="G33" s="1" t="s">
        <v>9</v>
      </c>
      <c r="H33" s="1" t="s">
        <v>9</v>
      </c>
      <c r="I33" s="1">
        <v>105</v>
      </c>
      <c r="J33" s="1" t="s">
        <v>93</v>
      </c>
      <c r="K33" s="1" t="str">
        <f t="shared" si="1"/>
        <v>E 105 E D</v>
      </c>
      <c r="L33" s="1">
        <v>0.89</v>
      </c>
      <c r="M33" s="3">
        <f t="shared" si="2"/>
        <v>0.88</v>
      </c>
    </row>
    <row r="34" spans="1:13" x14ac:dyDescent="0.2">
      <c r="A34" s="1" t="s">
        <v>7</v>
      </c>
      <c r="B34" s="1" t="s">
        <v>9</v>
      </c>
      <c r="C34" s="1">
        <v>105</v>
      </c>
      <c r="D34" s="1" t="s">
        <v>131</v>
      </c>
      <c r="E34" s="1" t="str">
        <f t="shared" si="0"/>
        <v>A 105 E K</v>
      </c>
      <c r="F34" s="1">
        <v>0.93</v>
      </c>
      <c r="G34" s="1" t="s">
        <v>9</v>
      </c>
      <c r="H34" s="1" t="s">
        <v>9</v>
      </c>
      <c r="I34" s="1">
        <v>105</v>
      </c>
      <c r="J34" s="1" t="s">
        <v>131</v>
      </c>
      <c r="K34" s="1" t="str">
        <f t="shared" si="1"/>
        <v>E 105 E K</v>
      </c>
      <c r="L34" s="1">
        <v>1.04</v>
      </c>
      <c r="M34" s="3">
        <f t="shared" si="2"/>
        <v>0.98499999999999999</v>
      </c>
    </row>
    <row r="35" spans="1:13" x14ac:dyDescent="0.2">
      <c r="A35" s="1" t="s">
        <v>7</v>
      </c>
      <c r="B35" s="1" t="s">
        <v>9</v>
      </c>
      <c r="C35" s="1">
        <v>105</v>
      </c>
      <c r="D35" s="1" t="s">
        <v>132</v>
      </c>
      <c r="E35" s="1" t="str">
        <f t="shared" si="0"/>
        <v>A 105 E Q</v>
      </c>
      <c r="F35" s="1">
        <v>1.22</v>
      </c>
      <c r="G35" s="1" t="s">
        <v>9</v>
      </c>
      <c r="H35" s="1" t="s">
        <v>9</v>
      </c>
      <c r="I35" s="1">
        <v>105</v>
      </c>
      <c r="J35" s="1" t="s">
        <v>132</v>
      </c>
      <c r="K35" s="1" t="str">
        <f t="shared" si="1"/>
        <v>E 105 E Q</v>
      </c>
      <c r="L35" s="1">
        <v>1.39</v>
      </c>
      <c r="M35" s="3">
        <f t="shared" si="2"/>
        <v>1.3049999999999999</v>
      </c>
    </row>
    <row r="36" spans="1:13" x14ac:dyDescent="0.2">
      <c r="A36" s="1" t="s">
        <v>7</v>
      </c>
      <c r="B36" s="1" t="s">
        <v>9</v>
      </c>
      <c r="C36" s="1">
        <v>105</v>
      </c>
      <c r="D36" s="1" t="s">
        <v>137</v>
      </c>
      <c r="E36" s="1" t="str">
        <f t="shared" si="0"/>
        <v>A 105 E V</v>
      </c>
      <c r="F36" s="1">
        <v>0.66</v>
      </c>
      <c r="G36" s="1" t="s">
        <v>9</v>
      </c>
      <c r="H36" s="1" t="s">
        <v>9</v>
      </c>
      <c r="I36" s="1">
        <v>105</v>
      </c>
      <c r="J36" s="1" t="s">
        <v>137</v>
      </c>
      <c r="K36" s="1" t="str">
        <f t="shared" si="1"/>
        <v>E 105 E V</v>
      </c>
      <c r="L36" s="1">
        <v>0.79</v>
      </c>
      <c r="M36" s="3">
        <f t="shared" si="2"/>
        <v>0.72499999999999998</v>
      </c>
    </row>
    <row r="37" spans="1:13" x14ac:dyDescent="0.2">
      <c r="A37" s="1" t="s">
        <v>7</v>
      </c>
      <c r="B37" s="1" t="s">
        <v>93</v>
      </c>
      <c r="C37" s="1">
        <v>106</v>
      </c>
      <c r="D37" s="1" t="s">
        <v>95</v>
      </c>
      <c r="E37" s="1" t="str">
        <f t="shared" si="0"/>
        <v>A 106 D H</v>
      </c>
      <c r="F37" s="1">
        <v>0.63</v>
      </c>
      <c r="G37" s="1" t="s">
        <v>9</v>
      </c>
      <c r="H37" s="1" t="s">
        <v>93</v>
      </c>
      <c r="I37" s="1">
        <v>106</v>
      </c>
      <c r="J37" s="1" t="s">
        <v>95</v>
      </c>
      <c r="K37" s="1" t="str">
        <f t="shared" si="1"/>
        <v>E 106 D H</v>
      </c>
      <c r="L37" s="1">
        <v>0.87</v>
      </c>
      <c r="M37" s="3">
        <f t="shared" si="2"/>
        <v>0.75</v>
      </c>
    </row>
    <row r="38" spans="1:13" x14ac:dyDescent="0.2">
      <c r="A38" s="1" t="s">
        <v>7</v>
      </c>
      <c r="B38" s="1" t="s">
        <v>93</v>
      </c>
      <c r="C38" s="1">
        <v>106</v>
      </c>
      <c r="D38" s="1" t="s">
        <v>136</v>
      </c>
      <c r="E38" s="1" t="str">
        <f t="shared" si="0"/>
        <v>A 106 D N</v>
      </c>
      <c r="F38" s="1">
        <v>0.88</v>
      </c>
      <c r="G38" s="1" t="s">
        <v>9</v>
      </c>
      <c r="H38" s="1" t="s">
        <v>93</v>
      </c>
      <c r="I38" s="1">
        <v>106</v>
      </c>
      <c r="J38" s="1" t="s">
        <v>136</v>
      </c>
      <c r="K38" s="1" t="str">
        <f t="shared" si="1"/>
        <v>E 106 D N</v>
      </c>
      <c r="L38" s="1">
        <v>1.1100000000000001</v>
      </c>
      <c r="M38" s="3">
        <f t="shared" si="2"/>
        <v>0.995</v>
      </c>
    </row>
    <row r="39" spans="1:13" x14ac:dyDescent="0.2">
      <c r="A39" s="1" t="s">
        <v>7</v>
      </c>
      <c r="B39" s="1" t="s">
        <v>93</v>
      </c>
      <c r="C39" s="1">
        <v>106</v>
      </c>
      <c r="D39" s="1" t="s">
        <v>138</v>
      </c>
      <c r="E39" s="1" t="str">
        <f t="shared" si="0"/>
        <v>A 106 D Y</v>
      </c>
      <c r="F39" s="1">
        <v>0.47</v>
      </c>
      <c r="G39" s="1" t="s">
        <v>9</v>
      </c>
      <c r="H39" s="1" t="s">
        <v>93</v>
      </c>
      <c r="I39" s="1">
        <v>106</v>
      </c>
      <c r="J39" s="1" t="s">
        <v>138</v>
      </c>
      <c r="K39" s="1" t="str">
        <f t="shared" si="1"/>
        <v>E 106 D Y</v>
      </c>
      <c r="L39" s="1">
        <v>0.66</v>
      </c>
      <c r="M39" s="3">
        <f t="shared" si="2"/>
        <v>0.56499999999999995</v>
      </c>
    </row>
    <row r="40" spans="1:13" x14ac:dyDescent="0.2">
      <c r="A40" s="1" t="s">
        <v>7</v>
      </c>
      <c r="B40" s="1" t="s">
        <v>7</v>
      </c>
      <c r="C40" s="1">
        <v>127</v>
      </c>
      <c r="D40" s="1" t="s">
        <v>9</v>
      </c>
      <c r="E40" s="1" t="str">
        <f t="shared" si="0"/>
        <v>A 127 A E</v>
      </c>
      <c r="F40" s="1">
        <v>-0.09</v>
      </c>
      <c r="G40" s="1" t="s">
        <v>9</v>
      </c>
      <c r="H40" s="1" t="s">
        <v>7</v>
      </c>
      <c r="I40" s="1">
        <v>127</v>
      </c>
      <c r="J40" s="1" t="s">
        <v>9</v>
      </c>
      <c r="K40" s="1" t="str">
        <f t="shared" si="1"/>
        <v>E 127 A E</v>
      </c>
      <c r="L40" s="1">
        <v>-0.09</v>
      </c>
      <c r="M40" s="3">
        <f t="shared" si="2"/>
        <v>-0.09</v>
      </c>
    </row>
    <row r="41" spans="1:13" x14ac:dyDescent="0.2">
      <c r="A41" s="1" t="s">
        <v>7</v>
      </c>
      <c r="B41" s="1" t="s">
        <v>7</v>
      </c>
      <c r="C41" s="1">
        <v>127</v>
      </c>
      <c r="D41" s="1" t="s">
        <v>73</v>
      </c>
      <c r="E41" s="1" t="str">
        <f t="shared" si="0"/>
        <v>A 127 A G</v>
      </c>
      <c r="F41" s="1">
        <v>0.5</v>
      </c>
      <c r="G41" s="1" t="s">
        <v>9</v>
      </c>
      <c r="H41" s="1" t="s">
        <v>7</v>
      </c>
      <c r="I41" s="1">
        <v>127</v>
      </c>
      <c r="J41" s="1" t="s">
        <v>73</v>
      </c>
      <c r="K41" s="1" t="str">
        <f t="shared" si="1"/>
        <v>E 127 A G</v>
      </c>
      <c r="L41" s="1">
        <v>0.5</v>
      </c>
      <c r="M41" s="3">
        <f t="shared" si="2"/>
        <v>0.5</v>
      </c>
    </row>
    <row r="42" spans="1:13" x14ac:dyDescent="0.2">
      <c r="A42" s="1" t="s">
        <v>7</v>
      </c>
      <c r="B42" s="1" t="s">
        <v>7</v>
      </c>
      <c r="C42" s="1">
        <v>127</v>
      </c>
      <c r="D42" s="1" t="s">
        <v>134</v>
      </c>
      <c r="E42" s="1" t="str">
        <f t="shared" si="0"/>
        <v>A 127 A P</v>
      </c>
      <c r="F42" s="1">
        <v>0.42</v>
      </c>
      <c r="G42" s="1" t="s">
        <v>9</v>
      </c>
      <c r="H42" s="1" t="s">
        <v>7</v>
      </c>
      <c r="I42" s="1">
        <v>127</v>
      </c>
      <c r="J42" s="1" t="s">
        <v>134</v>
      </c>
      <c r="K42" s="1" t="str">
        <f t="shared" si="1"/>
        <v>E 127 A P</v>
      </c>
      <c r="L42" s="1">
        <v>0.42</v>
      </c>
      <c r="M42" s="3">
        <f t="shared" si="2"/>
        <v>0.42</v>
      </c>
    </row>
    <row r="43" spans="1:13" x14ac:dyDescent="0.2">
      <c r="A43" s="1" t="s">
        <v>7</v>
      </c>
      <c r="B43" s="1" t="s">
        <v>7</v>
      </c>
      <c r="C43" s="1">
        <v>127</v>
      </c>
      <c r="D43" s="1" t="s">
        <v>130</v>
      </c>
      <c r="E43" s="1" t="str">
        <f t="shared" si="0"/>
        <v>A 127 A S</v>
      </c>
      <c r="F43" s="1">
        <v>0.02</v>
      </c>
      <c r="G43" s="1" t="s">
        <v>9</v>
      </c>
      <c r="H43" s="1" t="s">
        <v>7</v>
      </c>
      <c r="I43" s="1">
        <v>127</v>
      </c>
      <c r="J43" s="1" t="s">
        <v>130</v>
      </c>
      <c r="K43" s="1" t="str">
        <f t="shared" si="1"/>
        <v>E 127 A S</v>
      </c>
      <c r="L43" s="1">
        <v>0.02</v>
      </c>
      <c r="M43" s="3">
        <f t="shared" si="2"/>
        <v>0.02</v>
      </c>
    </row>
    <row r="44" spans="1:13" x14ac:dyDescent="0.2">
      <c r="A44" s="1" t="s">
        <v>7</v>
      </c>
      <c r="B44" s="1" t="s">
        <v>7</v>
      </c>
      <c r="C44" s="1">
        <v>127</v>
      </c>
      <c r="D44" s="1" t="s">
        <v>137</v>
      </c>
      <c r="E44" s="1" t="str">
        <f t="shared" si="0"/>
        <v>A 127 A V</v>
      </c>
      <c r="F44" s="1">
        <v>0.22</v>
      </c>
      <c r="G44" s="1" t="s">
        <v>9</v>
      </c>
      <c r="H44" s="1" t="s">
        <v>7</v>
      </c>
      <c r="I44" s="1">
        <v>127</v>
      </c>
      <c r="J44" s="1" t="s">
        <v>137</v>
      </c>
      <c r="K44" s="1" t="str">
        <f t="shared" si="1"/>
        <v>E 127 A V</v>
      </c>
      <c r="L44" s="1">
        <v>0.22</v>
      </c>
      <c r="M44" s="3">
        <f t="shared" si="2"/>
        <v>0.22</v>
      </c>
    </row>
    <row r="45" spans="1:13" x14ac:dyDescent="0.2">
      <c r="A45" s="1" t="s">
        <v>7</v>
      </c>
      <c r="B45" s="1" t="s">
        <v>129</v>
      </c>
      <c r="C45" s="1">
        <v>131</v>
      </c>
      <c r="D45" s="1" t="s">
        <v>71</v>
      </c>
      <c r="E45" s="1" t="str">
        <f t="shared" si="0"/>
        <v>A 131 R C</v>
      </c>
      <c r="F45" s="1">
        <v>1.06</v>
      </c>
      <c r="G45" s="1" t="s">
        <v>9</v>
      </c>
      <c r="H45" s="1" t="s">
        <v>129</v>
      </c>
      <c r="I45" s="1">
        <v>131</v>
      </c>
      <c r="J45" s="1" t="s">
        <v>71</v>
      </c>
      <c r="K45" s="1" t="str">
        <f t="shared" si="1"/>
        <v>E 131 R C</v>
      </c>
      <c r="L45" s="1">
        <v>1.06</v>
      </c>
      <c r="M45" s="3">
        <f t="shared" si="2"/>
        <v>1.06</v>
      </c>
    </row>
    <row r="46" spans="1:13" x14ac:dyDescent="0.2">
      <c r="A46" s="1" t="s">
        <v>7</v>
      </c>
      <c r="B46" s="1" t="s">
        <v>129</v>
      </c>
      <c r="C46" s="1">
        <v>131</v>
      </c>
      <c r="D46" s="1" t="s">
        <v>73</v>
      </c>
      <c r="E46" s="1" t="str">
        <f t="shared" si="0"/>
        <v>A 131 R G</v>
      </c>
      <c r="F46" s="1">
        <v>1.42</v>
      </c>
      <c r="G46" s="1" t="s">
        <v>9</v>
      </c>
      <c r="H46" s="1" t="s">
        <v>129</v>
      </c>
      <c r="I46" s="1">
        <v>131</v>
      </c>
      <c r="J46" s="1" t="s">
        <v>73</v>
      </c>
      <c r="K46" s="1" t="str">
        <f t="shared" si="1"/>
        <v>E 131 R G</v>
      </c>
      <c r="L46" s="1">
        <v>1.42</v>
      </c>
      <c r="M46" s="3">
        <f t="shared" si="2"/>
        <v>1.42</v>
      </c>
    </row>
    <row r="47" spans="1:13" x14ac:dyDescent="0.2">
      <c r="A47" s="1" t="s">
        <v>7</v>
      </c>
      <c r="B47" s="1" t="s">
        <v>129</v>
      </c>
      <c r="C47" s="1">
        <v>131</v>
      </c>
      <c r="D47" s="1" t="s">
        <v>95</v>
      </c>
      <c r="E47" s="1" t="str">
        <f t="shared" si="0"/>
        <v>A 131 R H</v>
      </c>
      <c r="F47" s="1">
        <v>1.28</v>
      </c>
      <c r="G47" s="1" t="s">
        <v>9</v>
      </c>
      <c r="H47" s="1" t="s">
        <v>129</v>
      </c>
      <c r="I47" s="1">
        <v>131</v>
      </c>
      <c r="J47" s="1" t="s">
        <v>95</v>
      </c>
      <c r="K47" s="1" t="str">
        <f t="shared" si="1"/>
        <v>E 131 R H</v>
      </c>
      <c r="L47" s="1">
        <v>1.28</v>
      </c>
      <c r="M47" s="3">
        <f t="shared" si="2"/>
        <v>1.28</v>
      </c>
    </row>
    <row r="48" spans="1:13" x14ac:dyDescent="0.2">
      <c r="A48" s="1" t="s">
        <v>7</v>
      </c>
      <c r="B48" s="1" t="s">
        <v>129</v>
      </c>
      <c r="C48" s="1">
        <v>131</v>
      </c>
      <c r="D48" s="1" t="s">
        <v>134</v>
      </c>
      <c r="E48" s="1" t="str">
        <f t="shared" si="0"/>
        <v>A 131 R P</v>
      </c>
      <c r="F48" s="1">
        <v>2.5299999999999998</v>
      </c>
      <c r="G48" s="1" t="s">
        <v>9</v>
      </c>
      <c r="H48" s="1" t="s">
        <v>129</v>
      </c>
      <c r="I48" s="1">
        <v>131</v>
      </c>
      <c r="J48" s="1" t="s">
        <v>134</v>
      </c>
      <c r="K48" s="1" t="str">
        <f t="shared" si="1"/>
        <v>E 131 R P</v>
      </c>
      <c r="L48" s="1">
        <v>2.5299999999999998</v>
      </c>
      <c r="M48" s="3">
        <f t="shared" si="2"/>
        <v>2.5299999999999998</v>
      </c>
    </row>
    <row r="49" spans="1:13" x14ac:dyDescent="0.2">
      <c r="A49" s="1" t="s">
        <v>7</v>
      </c>
      <c r="B49" s="1" t="s">
        <v>129</v>
      </c>
      <c r="C49" s="1">
        <v>131</v>
      </c>
      <c r="D49" s="1" t="s">
        <v>132</v>
      </c>
      <c r="E49" s="1" t="str">
        <f t="shared" si="0"/>
        <v>A 131 R Q</v>
      </c>
      <c r="F49" s="1">
        <v>1.22</v>
      </c>
      <c r="G49" s="1" t="s">
        <v>9</v>
      </c>
      <c r="H49" s="1" t="s">
        <v>129</v>
      </c>
      <c r="I49" s="1">
        <v>131</v>
      </c>
      <c r="J49" s="1" t="s">
        <v>132</v>
      </c>
      <c r="K49" s="1" t="str">
        <f t="shared" si="1"/>
        <v>E 131 R Q</v>
      </c>
      <c r="L49" s="1">
        <v>1.22</v>
      </c>
      <c r="M49" s="3">
        <f t="shared" si="2"/>
        <v>1.22</v>
      </c>
    </row>
    <row r="50" spans="1:13" x14ac:dyDescent="0.2">
      <c r="A50" s="1" t="s">
        <v>7</v>
      </c>
      <c r="B50" s="1" t="s">
        <v>9</v>
      </c>
      <c r="C50" s="1">
        <v>133</v>
      </c>
      <c r="D50" s="1" t="s">
        <v>93</v>
      </c>
      <c r="E50" s="1" t="str">
        <f t="shared" si="0"/>
        <v>A 133 E D</v>
      </c>
      <c r="F50" s="1">
        <v>0.45</v>
      </c>
      <c r="G50" s="1" t="s">
        <v>9</v>
      </c>
      <c r="H50" s="1" t="s">
        <v>9</v>
      </c>
      <c r="I50" s="1">
        <v>133</v>
      </c>
      <c r="J50" s="1" t="s">
        <v>93</v>
      </c>
      <c r="K50" s="1" t="str">
        <f t="shared" si="1"/>
        <v>E 133 E D</v>
      </c>
      <c r="L50" s="1">
        <v>0.64</v>
      </c>
      <c r="M50" s="3">
        <f t="shared" si="2"/>
        <v>0.54500000000000004</v>
      </c>
    </row>
    <row r="51" spans="1:13" x14ac:dyDescent="0.2">
      <c r="A51" s="1" t="s">
        <v>7</v>
      </c>
      <c r="B51" s="1" t="s">
        <v>9</v>
      </c>
      <c r="C51" s="1">
        <v>133</v>
      </c>
      <c r="D51" s="1" t="s">
        <v>131</v>
      </c>
      <c r="E51" s="1" t="str">
        <f t="shared" si="0"/>
        <v>A 133 E K</v>
      </c>
      <c r="F51" s="1">
        <v>0.7</v>
      </c>
      <c r="G51" s="1" t="s">
        <v>9</v>
      </c>
      <c r="H51" s="1" t="s">
        <v>9</v>
      </c>
      <c r="I51" s="1">
        <v>133</v>
      </c>
      <c r="J51" s="1" t="s">
        <v>131</v>
      </c>
      <c r="K51" s="1" t="str">
        <f t="shared" si="1"/>
        <v>E 133 E K</v>
      </c>
      <c r="L51" s="1">
        <v>0.78</v>
      </c>
      <c r="M51" s="3">
        <f t="shared" si="2"/>
        <v>0.74</v>
      </c>
    </row>
    <row r="52" spans="1:13" x14ac:dyDescent="0.2">
      <c r="A52" s="1" t="s">
        <v>7</v>
      </c>
      <c r="B52" s="1" t="s">
        <v>9</v>
      </c>
      <c r="C52" s="1">
        <v>133</v>
      </c>
      <c r="D52" s="1" t="s">
        <v>132</v>
      </c>
      <c r="E52" s="1" t="str">
        <f t="shared" si="0"/>
        <v>A 133 E Q</v>
      </c>
      <c r="F52" s="1">
        <v>0.67</v>
      </c>
      <c r="G52" s="1" t="s">
        <v>9</v>
      </c>
      <c r="H52" s="1" t="s">
        <v>9</v>
      </c>
      <c r="I52" s="1">
        <v>133</v>
      </c>
      <c r="J52" s="1" t="s">
        <v>132</v>
      </c>
      <c r="K52" s="1" t="str">
        <f t="shared" si="1"/>
        <v>E 133 E Q</v>
      </c>
      <c r="L52" s="1">
        <v>0.81</v>
      </c>
      <c r="M52" s="3">
        <f t="shared" si="2"/>
        <v>0.74</v>
      </c>
    </row>
    <row r="53" spans="1:13" x14ac:dyDescent="0.2">
      <c r="A53" s="1" t="s">
        <v>7</v>
      </c>
      <c r="B53" s="1" t="s">
        <v>129</v>
      </c>
      <c r="C53" s="1">
        <v>134</v>
      </c>
      <c r="D53" s="1" t="s">
        <v>139</v>
      </c>
      <c r="E53" s="1" t="str">
        <f t="shared" si="0"/>
        <v>A 134 R I</v>
      </c>
      <c r="F53" s="1">
        <v>0.83</v>
      </c>
      <c r="G53" s="1" t="s">
        <v>9</v>
      </c>
      <c r="H53" s="1" t="s">
        <v>129</v>
      </c>
      <c r="I53" s="1">
        <v>134</v>
      </c>
      <c r="J53" s="1" t="s">
        <v>139</v>
      </c>
      <c r="K53" s="1" t="str">
        <f t="shared" si="1"/>
        <v>E 134 R I</v>
      </c>
      <c r="L53" s="1">
        <v>0.83</v>
      </c>
      <c r="M53" s="3">
        <f t="shared" si="2"/>
        <v>0.83</v>
      </c>
    </row>
    <row r="54" spans="1:13" x14ac:dyDescent="0.2">
      <c r="A54" s="1" t="s">
        <v>7</v>
      </c>
      <c r="B54" s="1" t="s">
        <v>129</v>
      </c>
      <c r="C54" s="1">
        <v>134</v>
      </c>
      <c r="D54" s="1" t="s">
        <v>131</v>
      </c>
      <c r="E54" s="1" t="str">
        <f t="shared" si="0"/>
        <v>A 134 R K</v>
      </c>
      <c r="F54" s="1">
        <v>0.65</v>
      </c>
      <c r="G54" s="1" t="s">
        <v>9</v>
      </c>
      <c r="H54" s="1" t="s">
        <v>129</v>
      </c>
      <c r="I54" s="1">
        <v>134</v>
      </c>
      <c r="J54" s="1" t="s">
        <v>131</v>
      </c>
      <c r="K54" s="1" t="str">
        <f t="shared" si="1"/>
        <v>E 134 R K</v>
      </c>
      <c r="L54" s="1">
        <v>0.65</v>
      </c>
      <c r="M54" s="3">
        <f t="shared" si="2"/>
        <v>0.65</v>
      </c>
    </row>
    <row r="55" spans="1:13" x14ac:dyDescent="0.2">
      <c r="A55" s="1" t="s">
        <v>7</v>
      </c>
      <c r="B55" s="1" t="s">
        <v>129</v>
      </c>
      <c r="C55" s="1">
        <v>134</v>
      </c>
      <c r="D55" s="1" t="s">
        <v>130</v>
      </c>
      <c r="E55" s="1" t="str">
        <f t="shared" si="0"/>
        <v>A 134 R S</v>
      </c>
      <c r="F55" s="1">
        <v>0.8</v>
      </c>
      <c r="G55" s="1" t="s">
        <v>9</v>
      </c>
      <c r="H55" s="1" t="s">
        <v>129</v>
      </c>
      <c r="I55" s="1">
        <v>134</v>
      </c>
      <c r="J55" s="1" t="s">
        <v>130</v>
      </c>
      <c r="K55" s="1" t="str">
        <f t="shared" si="1"/>
        <v>E 134 R S</v>
      </c>
      <c r="L55" s="1">
        <v>0.8</v>
      </c>
      <c r="M55" s="3">
        <f t="shared" si="2"/>
        <v>0.8</v>
      </c>
    </row>
    <row r="56" spans="1:13" x14ac:dyDescent="0.2">
      <c r="A56" s="1" t="s">
        <v>7</v>
      </c>
      <c r="B56" s="1" t="s">
        <v>129</v>
      </c>
      <c r="C56" s="1">
        <v>134</v>
      </c>
      <c r="D56" s="1" t="s">
        <v>140</v>
      </c>
      <c r="E56" s="1" t="str">
        <f t="shared" si="0"/>
        <v>A 134 R T</v>
      </c>
      <c r="F56" s="1">
        <v>0.67</v>
      </c>
      <c r="G56" s="1" t="s">
        <v>9</v>
      </c>
      <c r="H56" s="1" t="s">
        <v>129</v>
      </c>
      <c r="I56" s="1">
        <v>134</v>
      </c>
      <c r="J56" s="1" t="s">
        <v>140</v>
      </c>
      <c r="K56" s="1" t="str">
        <f t="shared" si="1"/>
        <v>E 134 R T</v>
      </c>
      <c r="L56" s="1">
        <v>0.67</v>
      </c>
      <c r="M56" s="3">
        <f t="shared" si="2"/>
        <v>0.67</v>
      </c>
    </row>
    <row r="57" spans="1:13" x14ac:dyDescent="0.2">
      <c r="A57" s="1" t="s">
        <v>64</v>
      </c>
      <c r="B57" s="1" t="s">
        <v>93</v>
      </c>
      <c r="C57" s="1">
        <v>68</v>
      </c>
      <c r="D57" s="1" t="s">
        <v>66</v>
      </c>
      <c r="E57" s="1" t="str">
        <f t="shared" si="0"/>
        <v>B 68 D F</v>
      </c>
      <c r="F57" s="1">
        <v>0.4</v>
      </c>
      <c r="G57" s="1" t="s">
        <v>66</v>
      </c>
      <c r="H57" s="1" t="s">
        <v>93</v>
      </c>
      <c r="I57" s="1">
        <v>68</v>
      </c>
      <c r="J57" s="1" t="s">
        <v>66</v>
      </c>
      <c r="K57" s="1" t="str">
        <f t="shared" si="1"/>
        <v>F 68 D F</v>
      </c>
      <c r="L57" s="1">
        <v>0.44</v>
      </c>
      <c r="M57" s="3">
        <f t="shared" si="2"/>
        <v>0.42</v>
      </c>
    </row>
    <row r="58" spans="1:13" x14ac:dyDescent="0.2">
      <c r="A58" s="1" t="s">
        <v>64</v>
      </c>
      <c r="B58" s="1" t="s">
        <v>93</v>
      </c>
      <c r="C58" s="1">
        <v>68</v>
      </c>
      <c r="D58" s="1" t="s">
        <v>73</v>
      </c>
      <c r="E58" s="1" t="str">
        <f t="shared" si="0"/>
        <v>B 68 D G</v>
      </c>
      <c r="F58" s="1">
        <v>0.86</v>
      </c>
      <c r="G58" s="1" t="s">
        <v>66</v>
      </c>
      <c r="H58" s="1" t="s">
        <v>93</v>
      </c>
      <c r="I58" s="1">
        <v>68</v>
      </c>
      <c r="J58" s="1" t="s">
        <v>73</v>
      </c>
      <c r="K58" s="1" t="str">
        <f t="shared" si="1"/>
        <v>F 68 D G</v>
      </c>
      <c r="L58" s="1">
        <v>0.96</v>
      </c>
      <c r="M58" s="3">
        <f t="shared" si="2"/>
        <v>0.91</v>
      </c>
    </row>
    <row r="59" spans="1:13" x14ac:dyDescent="0.2">
      <c r="A59" s="1" t="s">
        <v>64</v>
      </c>
      <c r="B59" s="1" t="s">
        <v>93</v>
      </c>
      <c r="C59" s="1">
        <v>68</v>
      </c>
      <c r="D59" s="1" t="s">
        <v>95</v>
      </c>
      <c r="E59" s="1" t="str">
        <f t="shared" si="0"/>
        <v>B 68 D H</v>
      </c>
      <c r="F59" s="1">
        <v>0.51</v>
      </c>
      <c r="G59" s="1" t="s">
        <v>66</v>
      </c>
      <c r="H59" s="1" t="s">
        <v>93</v>
      </c>
      <c r="I59" s="1">
        <v>68</v>
      </c>
      <c r="J59" s="1" t="s">
        <v>95</v>
      </c>
      <c r="K59" s="1" t="str">
        <f t="shared" si="1"/>
        <v>F 68 D H</v>
      </c>
      <c r="L59" s="1">
        <v>0.6</v>
      </c>
      <c r="M59" s="3">
        <f t="shared" si="2"/>
        <v>0.55500000000000005</v>
      </c>
    </row>
    <row r="60" spans="1:13" x14ac:dyDescent="0.2">
      <c r="A60" s="1" t="s">
        <v>64</v>
      </c>
      <c r="B60" s="1" t="s">
        <v>93</v>
      </c>
      <c r="C60" s="1">
        <v>68</v>
      </c>
      <c r="D60" s="1" t="s">
        <v>136</v>
      </c>
      <c r="E60" s="1" t="str">
        <f t="shared" si="0"/>
        <v>B 68 D N</v>
      </c>
      <c r="F60" s="1">
        <v>0.85</v>
      </c>
      <c r="G60" s="1" t="s">
        <v>66</v>
      </c>
      <c r="H60" s="1" t="s">
        <v>93</v>
      </c>
      <c r="I60" s="1">
        <v>68</v>
      </c>
      <c r="J60" s="1" t="s">
        <v>136</v>
      </c>
      <c r="K60" s="1" t="str">
        <f t="shared" si="1"/>
        <v>F 68 D N</v>
      </c>
      <c r="L60" s="1">
        <v>0.96</v>
      </c>
      <c r="M60" s="3">
        <f t="shared" si="2"/>
        <v>0.90500000000000003</v>
      </c>
    </row>
    <row r="61" spans="1:13" x14ac:dyDescent="0.2">
      <c r="A61" s="1" t="s">
        <v>64</v>
      </c>
      <c r="B61" s="1" t="s">
        <v>93</v>
      </c>
      <c r="C61" s="1">
        <v>68</v>
      </c>
      <c r="D61" s="1" t="s">
        <v>138</v>
      </c>
      <c r="E61" s="1" t="str">
        <f t="shared" si="0"/>
        <v>B 68 D Y</v>
      </c>
      <c r="F61" s="1">
        <v>0.28000000000000003</v>
      </c>
      <c r="G61" s="1" t="s">
        <v>66</v>
      </c>
      <c r="H61" s="1" t="s">
        <v>93</v>
      </c>
      <c r="I61" s="1">
        <v>68</v>
      </c>
      <c r="J61" s="1" t="s">
        <v>138</v>
      </c>
      <c r="K61" s="1" t="str">
        <f t="shared" si="1"/>
        <v>F 68 D Y</v>
      </c>
      <c r="L61" s="1">
        <v>0.36</v>
      </c>
      <c r="M61" s="3">
        <f t="shared" si="2"/>
        <v>0.32</v>
      </c>
    </row>
    <row r="62" spans="1:13" x14ac:dyDescent="0.2">
      <c r="A62" s="1" t="s">
        <v>71</v>
      </c>
      <c r="B62" s="1" t="s">
        <v>130</v>
      </c>
      <c r="C62" s="1">
        <v>19</v>
      </c>
      <c r="D62" s="1" t="s">
        <v>71</v>
      </c>
      <c r="E62" s="1" t="str">
        <f t="shared" si="0"/>
        <v>C 19 S C</v>
      </c>
      <c r="F62" s="1">
        <v>0.21</v>
      </c>
      <c r="G62" s="1" t="s">
        <v>73</v>
      </c>
      <c r="H62" s="1" t="s">
        <v>130</v>
      </c>
      <c r="I62" s="1">
        <v>19</v>
      </c>
      <c r="J62" s="1" t="s">
        <v>71</v>
      </c>
      <c r="K62" s="1" t="str">
        <f t="shared" si="1"/>
        <v>G 19 S C</v>
      </c>
      <c r="L62" s="1">
        <v>0.3</v>
      </c>
      <c r="M62" s="3">
        <f t="shared" si="2"/>
        <v>0.255</v>
      </c>
    </row>
    <row r="63" spans="1:13" x14ac:dyDescent="0.2">
      <c r="A63" s="1" t="s">
        <v>71</v>
      </c>
      <c r="B63" s="1" t="s">
        <v>130</v>
      </c>
      <c r="C63" s="1">
        <v>19</v>
      </c>
      <c r="D63" s="1" t="s">
        <v>66</v>
      </c>
      <c r="E63" s="1" t="str">
        <f t="shared" si="0"/>
        <v>C 19 S F</v>
      </c>
      <c r="F63" s="1">
        <v>-0.15</v>
      </c>
      <c r="G63" s="1" t="s">
        <v>73</v>
      </c>
      <c r="H63" s="1" t="s">
        <v>130</v>
      </c>
      <c r="I63" s="1">
        <v>19</v>
      </c>
      <c r="J63" s="1" t="s">
        <v>66</v>
      </c>
      <c r="K63" s="1" t="str">
        <f t="shared" si="1"/>
        <v>G 19 S F</v>
      </c>
      <c r="L63" s="1">
        <v>-7.0000000000000007E-2</v>
      </c>
      <c r="M63" s="3">
        <f t="shared" si="2"/>
        <v>-0.11</v>
      </c>
    </row>
    <row r="64" spans="1:13" x14ac:dyDescent="0.2">
      <c r="A64" s="1" t="s">
        <v>71</v>
      </c>
      <c r="B64" s="1" t="s">
        <v>130</v>
      </c>
      <c r="C64" s="1">
        <v>19</v>
      </c>
      <c r="D64" s="1" t="s">
        <v>133</v>
      </c>
      <c r="E64" s="1" t="str">
        <f t="shared" si="0"/>
        <v>C 19 S L</v>
      </c>
      <c r="F64" s="1">
        <v>0.19</v>
      </c>
      <c r="G64" s="1" t="s">
        <v>73</v>
      </c>
      <c r="H64" s="1" t="s">
        <v>130</v>
      </c>
      <c r="I64" s="1">
        <v>19</v>
      </c>
      <c r="J64" s="1" t="s">
        <v>133</v>
      </c>
      <c r="K64" s="1" t="str">
        <f t="shared" si="1"/>
        <v>G 19 S L</v>
      </c>
      <c r="L64" s="1">
        <v>0.25</v>
      </c>
      <c r="M64" s="3">
        <f t="shared" si="2"/>
        <v>0.22</v>
      </c>
    </row>
    <row r="65" spans="1:13" x14ac:dyDescent="0.2">
      <c r="A65" s="1" t="s">
        <v>71</v>
      </c>
      <c r="B65" s="1" t="s">
        <v>130</v>
      </c>
      <c r="C65" s="1">
        <v>19</v>
      </c>
      <c r="D65" s="1" t="s">
        <v>134</v>
      </c>
      <c r="E65" s="1" t="str">
        <f t="shared" si="0"/>
        <v>C 19 S P</v>
      </c>
      <c r="F65" s="1">
        <v>0.5</v>
      </c>
      <c r="G65" s="1" t="s">
        <v>73</v>
      </c>
      <c r="H65" s="1" t="s">
        <v>130</v>
      </c>
      <c r="I65" s="1">
        <v>19</v>
      </c>
      <c r="J65" s="1" t="s">
        <v>134</v>
      </c>
      <c r="K65" s="1" t="str">
        <f t="shared" si="1"/>
        <v>G 19 S P</v>
      </c>
      <c r="L65" s="1">
        <v>0.54</v>
      </c>
      <c r="M65" s="3">
        <f t="shared" si="2"/>
        <v>0.52</v>
      </c>
    </row>
    <row r="66" spans="1:13" x14ac:dyDescent="0.2">
      <c r="A66" s="1" t="s">
        <v>71</v>
      </c>
      <c r="B66" s="1" t="s">
        <v>130</v>
      </c>
      <c r="C66" s="1">
        <v>19</v>
      </c>
      <c r="D66" s="1" t="s">
        <v>138</v>
      </c>
      <c r="E66" s="1" t="str">
        <f t="shared" ref="E66:E115" si="3">A66&amp;" "&amp;C66&amp;" "&amp;B66&amp;" "&amp;D66</f>
        <v>C 19 S Y</v>
      </c>
      <c r="F66" s="1">
        <v>-0.05</v>
      </c>
      <c r="G66" s="1" t="s">
        <v>73</v>
      </c>
      <c r="H66" s="1" t="s">
        <v>130</v>
      </c>
      <c r="I66" s="1">
        <v>19</v>
      </c>
      <c r="J66" s="1" t="s">
        <v>138</v>
      </c>
      <c r="K66" s="1" t="str">
        <f t="shared" ref="K66:K115" si="4">G66&amp;" "&amp;I66&amp;" "&amp;H66&amp;" "&amp;J66</f>
        <v>G 19 S Y</v>
      </c>
      <c r="L66" s="1">
        <v>0.03</v>
      </c>
      <c r="M66" s="3">
        <f t="shared" ref="M66:M115" si="5">AVERAGE(F66,L66)</f>
        <v>-0.01</v>
      </c>
    </row>
    <row r="67" spans="1:13" x14ac:dyDescent="0.2">
      <c r="A67" s="1" t="s">
        <v>71</v>
      </c>
      <c r="B67" s="1" t="s">
        <v>129</v>
      </c>
      <c r="C67" s="1">
        <v>29</v>
      </c>
      <c r="D67" s="1" t="s">
        <v>134</v>
      </c>
      <c r="E67" s="1" t="str">
        <f t="shared" si="3"/>
        <v>C 29 R P</v>
      </c>
      <c r="F67" s="1">
        <v>2.11</v>
      </c>
      <c r="G67" s="1" t="s">
        <v>73</v>
      </c>
      <c r="H67" s="1" t="s">
        <v>129</v>
      </c>
      <c r="I67" s="1">
        <v>29</v>
      </c>
      <c r="J67" s="1" t="s">
        <v>134</v>
      </c>
      <c r="K67" s="1" t="str">
        <f t="shared" si="4"/>
        <v>G 29 R P</v>
      </c>
      <c r="L67" s="1">
        <v>1.68</v>
      </c>
      <c r="M67" s="3">
        <f t="shared" si="5"/>
        <v>1.895</v>
      </c>
    </row>
    <row r="68" spans="1:13" x14ac:dyDescent="0.2">
      <c r="A68" s="1" t="s">
        <v>71</v>
      </c>
      <c r="B68" s="1" t="s">
        <v>129</v>
      </c>
      <c r="C68" s="1">
        <v>29</v>
      </c>
      <c r="D68" s="1" t="s">
        <v>132</v>
      </c>
      <c r="E68" s="1" t="str">
        <f t="shared" si="3"/>
        <v>C 29 R Q</v>
      </c>
      <c r="F68" s="1">
        <v>0.91</v>
      </c>
      <c r="G68" s="1" t="s">
        <v>73</v>
      </c>
      <c r="H68" s="1" t="s">
        <v>129</v>
      </c>
      <c r="I68" s="1">
        <v>29</v>
      </c>
      <c r="J68" s="1" t="s">
        <v>132</v>
      </c>
      <c r="K68" s="1" t="str">
        <f t="shared" si="4"/>
        <v>G 29 R Q</v>
      </c>
      <c r="L68" s="1">
        <v>0.6</v>
      </c>
      <c r="M68" s="3">
        <f t="shared" si="5"/>
        <v>0.755</v>
      </c>
    </row>
    <row r="69" spans="1:13" x14ac:dyDescent="0.2">
      <c r="A69" s="1" t="s">
        <v>71</v>
      </c>
      <c r="B69" s="1" t="s">
        <v>129</v>
      </c>
      <c r="C69" s="1">
        <v>29</v>
      </c>
      <c r="D69" s="1" t="s">
        <v>133</v>
      </c>
      <c r="E69" s="1" t="str">
        <f t="shared" si="3"/>
        <v>C 29 R L</v>
      </c>
      <c r="F69" s="1">
        <v>0.69</v>
      </c>
      <c r="G69" s="1" t="s">
        <v>73</v>
      </c>
      <c r="H69" s="1" t="s">
        <v>129</v>
      </c>
      <c r="I69" s="1">
        <v>29</v>
      </c>
      <c r="J69" s="1" t="s">
        <v>133</v>
      </c>
      <c r="K69" s="1" t="str">
        <f t="shared" si="4"/>
        <v>G 29 R L</v>
      </c>
      <c r="L69" s="1">
        <v>0.39</v>
      </c>
      <c r="M69" s="3">
        <f t="shared" si="5"/>
        <v>0.54</v>
      </c>
    </row>
    <row r="70" spans="1:13" x14ac:dyDescent="0.2">
      <c r="A70" s="1" t="s">
        <v>71</v>
      </c>
      <c r="B70" s="1" t="s">
        <v>73</v>
      </c>
      <c r="C70" s="1">
        <v>37</v>
      </c>
      <c r="D70" s="1" t="s">
        <v>71</v>
      </c>
      <c r="E70" s="1" t="str">
        <f t="shared" si="3"/>
        <v>C 37 G C</v>
      </c>
      <c r="F70" s="1">
        <v>0.36</v>
      </c>
      <c r="G70" s="1" t="s">
        <v>73</v>
      </c>
      <c r="H70" s="1" t="s">
        <v>73</v>
      </c>
      <c r="I70" s="1">
        <v>37</v>
      </c>
      <c r="J70" s="1" t="s">
        <v>71</v>
      </c>
      <c r="K70" s="1" t="str">
        <f t="shared" si="4"/>
        <v>G 37 G C</v>
      </c>
      <c r="L70" s="1">
        <v>0.14000000000000001</v>
      </c>
      <c r="M70" s="3">
        <f t="shared" si="5"/>
        <v>0.25</v>
      </c>
    </row>
    <row r="71" spans="1:13" x14ac:dyDescent="0.2">
      <c r="A71" s="1" t="s">
        <v>71</v>
      </c>
      <c r="B71" s="1" t="s">
        <v>73</v>
      </c>
      <c r="C71" s="1">
        <v>37</v>
      </c>
      <c r="D71" s="1" t="s">
        <v>93</v>
      </c>
      <c r="E71" s="1" t="str">
        <f t="shared" si="3"/>
        <v>C 37 G D</v>
      </c>
      <c r="F71" s="1">
        <v>0.41</v>
      </c>
      <c r="G71" s="1" t="s">
        <v>73</v>
      </c>
      <c r="H71" s="1" t="s">
        <v>73</v>
      </c>
      <c r="I71" s="1">
        <v>37</v>
      </c>
      <c r="J71" s="1" t="s">
        <v>93</v>
      </c>
      <c r="K71" s="1" t="str">
        <f t="shared" si="4"/>
        <v>G 37 G D</v>
      </c>
      <c r="L71" s="1">
        <v>0.09</v>
      </c>
      <c r="M71" s="3">
        <f t="shared" si="5"/>
        <v>0.25</v>
      </c>
    </row>
    <row r="72" spans="1:13" x14ac:dyDescent="0.2">
      <c r="A72" s="1" t="s">
        <v>71</v>
      </c>
      <c r="B72" s="1" t="s">
        <v>73</v>
      </c>
      <c r="C72" s="1">
        <v>37</v>
      </c>
      <c r="D72" s="1" t="s">
        <v>130</v>
      </c>
      <c r="E72" s="1" t="str">
        <f t="shared" si="3"/>
        <v>C 37 G S</v>
      </c>
      <c r="F72" s="1">
        <v>0.37</v>
      </c>
      <c r="G72" s="1" t="s">
        <v>73</v>
      </c>
      <c r="H72" s="1" t="s">
        <v>73</v>
      </c>
      <c r="I72" s="1">
        <v>37</v>
      </c>
      <c r="J72" s="1" t="s">
        <v>130</v>
      </c>
      <c r="K72" s="1" t="str">
        <f t="shared" si="4"/>
        <v>G 37 G S</v>
      </c>
      <c r="L72" s="1">
        <v>0.19</v>
      </c>
      <c r="M72" s="3">
        <f t="shared" si="5"/>
        <v>0.28000000000000003</v>
      </c>
    </row>
    <row r="73" spans="1:13" x14ac:dyDescent="0.2">
      <c r="A73" s="1" t="s">
        <v>71</v>
      </c>
      <c r="B73" s="1" t="s">
        <v>73</v>
      </c>
      <c r="C73" s="1">
        <v>37</v>
      </c>
      <c r="D73" s="1" t="s">
        <v>137</v>
      </c>
      <c r="E73" s="1" t="str">
        <f t="shared" si="3"/>
        <v>C 37 G V</v>
      </c>
      <c r="F73" s="1">
        <v>0.56000000000000005</v>
      </c>
      <c r="G73" s="1" t="s">
        <v>73</v>
      </c>
      <c r="H73" s="1" t="s">
        <v>73</v>
      </c>
      <c r="I73" s="1">
        <v>37</v>
      </c>
      <c r="J73" s="1" t="s">
        <v>137</v>
      </c>
      <c r="K73" s="1" t="str">
        <f t="shared" si="4"/>
        <v>G 37 G V</v>
      </c>
      <c r="L73" s="1">
        <v>0.51</v>
      </c>
      <c r="M73" s="3">
        <f t="shared" si="5"/>
        <v>0.53500000000000003</v>
      </c>
    </row>
    <row r="74" spans="1:13" x14ac:dyDescent="0.2">
      <c r="A74" s="1" t="s">
        <v>71</v>
      </c>
      <c r="B74" s="1" t="s">
        <v>9</v>
      </c>
      <c r="C74" s="1">
        <v>56</v>
      </c>
      <c r="D74" s="1" t="s">
        <v>7</v>
      </c>
      <c r="E74" s="1" t="str">
        <f t="shared" si="3"/>
        <v>C 56 E A</v>
      </c>
      <c r="F74" s="1">
        <v>1.23</v>
      </c>
      <c r="G74" s="1" t="s">
        <v>73</v>
      </c>
      <c r="H74" s="1" t="s">
        <v>9</v>
      </c>
      <c r="I74" s="1">
        <v>56</v>
      </c>
      <c r="J74" s="1" t="s">
        <v>7</v>
      </c>
      <c r="K74" s="1" t="str">
        <f t="shared" si="4"/>
        <v>G 56 E A</v>
      </c>
      <c r="L74" s="1">
        <v>1.18</v>
      </c>
      <c r="M74" s="3">
        <f t="shared" si="5"/>
        <v>1.2050000000000001</v>
      </c>
    </row>
    <row r="75" spans="1:13" x14ac:dyDescent="0.2">
      <c r="A75" s="1" t="s">
        <v>71</v>
      </c>
      <c r="B75" s="1" t="s">
        <v>9</v>
      </c>
      <c r="C75" s="1">
        <v>56</v>
      </c>
      <c r="D75" s="1" t="s">
        <v>93</v>
      </c>
      <c r="E75" s="1" t="str">
        <f t="shared" si="3"/>
        <v>C 56 E D</v>
      </c>
      <c r="F75" s="1">
        <v>1.33</v>
      </c>
      <c r="G75" s="1" t="s">
        <v>73</v>
      </c>
      <c r="H75" s="1" t="s">
        <v>9</v>
      </c>
      <c r="I75" s="1">
        <v>56</v>
      </c>
      <c r="J75" s="1" t="s">
        <v>93</v>
      </c>
      <c r="K75" s="1" t="str">
        <f t="shared" si="4"/>
        <v>G 56 E D</v>
      </c>
      <c r="L75" s="1">
        <v>1.35</v>
      </c>
      <c r="M75" s="3">
        <f t="shared" si="5"/>
        <v>1.34</v>
      </c>
    </row>
    <row r="76" spans="1:13" x14ac:dyDescent="0.2">
      <c r="A76" s="1" t="s">
        <v>71</v>
      </c>
      <c r="B76" s="1" t="s">
        <v>9</v>
      </c>
      <c r="C76" s="1">
        <v>56</v>
      </c>
      <c r="D76" s="1" t="s">
        <v>73</v>
      </c>
      <c r="E76" s="1" t="str">
        <f t="shared" si="3"/>
        <v>C 56 E G</v>
      </c>
      <c r="F76" s="1">
        <v>1.35</v>
      </c>
      <c r="G76" s="1" t="s">
        <v>73</v>
      </c>
      <c r="H76" s="1" t="s">
        <v>9</v>
      </c>
      <c r="I76" s="1">
        <v>56</v>
      </c>
      <c r="J76" s="1" t="s">
        <v>73</v>
      </c>
      <c r="K76" s="1" t="str">
        <f t="shared" si="4"/>
        <v>G 56 E G</v>
      </c>
      <c r="L76" s="1">
        <v>1.29</v>
      </c>
      <c r="M76" s="3">
        <f t="shared" si="5"/>
        <v>1.32</v>
      </c>
    </row>
    <row r="77" spans="1:13" x14ac:dyDescent="0.2">
      <c r="A77" s="1" t="s">
        <v>71</v>
      </c>
      <c r="B77" s="1" t="s">
        <v>9</v>
      </c>
      <c r="C77" s="1">
        <v>56</v>
      </c>
      <c r="D77" s="1" t="s">
        <v>131</v>
      </c>
      <c r="E77" s="1" t="str">
        <f t="shared" si="3"/>
        <v>C 56 E K</v>
      </c>
      <c r="F77" s="1">
        <v>1.35</v>
      </c>
      <c r="G77" s="1" t="s">
        <v>73</v>
      </c>
      <c r="H77" s="1" t="s">
        <v>9</v>
      </c>
      <c r="I77" s="1">
        <v>56</v>
      </c>
      <c r="J77" s="1" t="s">
        <v>131</v>
      </c>
      <c r="K77" s="1" t="str">
        <f t="shared" si="4"/>
        <v>G 56 E K</v>
      </c>
      <c r="L77" s="1">
        <v>1.44</v>
      </c>
      <c r="M77" s="3">
        <f t="shared" si="5"/>
        <v>1.395</v>
      </c>
    </row>
    <row r="78" spans="1:13" x14ac:dyDescent="0.2">
      <c r="A78" s="1" t="s">
        <v>71</v>
      </c>
      <c r="B78" s="1" t="s">
        <v>9</v>
      </c>
      <c r="C78" s="1">
        <v>56</v>
      </c>
      <c r="D78" s="1" t="s">
        <v>132</v>
      </c>
      <c r="E78" s="1" t="str">
        <f t="shared" si="3"/>
        <v>C 56 E Q</v>
      </c>
      <c r="F78" s="1">
        <v>1.33</v>
      </c>
      <c r="G78" s="1" t="s">
        <v>73</v>
      </c>
      <c r="H78" s="1" t="s">
        <v>9</v>
      </c>
      <c r="I78" s="1">
        <v>56</v>
      </c>
      <c r="J78" s="1" t="s">
        <v>132</v>
      </c>
      <c r="K78" s="1" t="str">
        <f t="shared" si="4"/>
        <v>G 56 E Q</v>
      </c>
      <c r="L78" s="1">
        <v>1.47</v>
      </c>
      <c r="M78" s="3">
        <f t="shared" si="5"/>
        <v>1.4</v>
      </c>
    </row>
    <row r="79" spans="1:13" x14ac:dyDescent="0.2">
      <c r="A79" s="1" t="s">
        <v>71</v>
      </c>
      <c r="B79" s="1" t="s">
        <v>131</v>
      </c>
      <c r="C79" s="1">
        <v>74</v>
      </c>
      <c r="D79" s="1" t="s">
        <v>9</v>
      </c>
      <c r="E79" s="1" t="str">
        <f t="shared" si="3"/>
        <v>C 74 K E</v>
      </c>
      <c r="F79" s="1">
        <v>0.12</v>
      </c>
      <c r="G79" s="1" t="s">
        <v>73</v>
      </c>
      <c r="H79" s="1" t="s">
        <v>131</v>
      </c>
      <c r="I79" s="1">
        <v>74</v>
      </c>
      <c r="J79" s="1" t="s">
        <v>9</v>
      </c>
      <c r="K79" s="1" t="str">
        <f t="shared" si="4"/>
        <v>G 74 K E</v>
      </c>
      <c r="L79" s="1">
        <v>0.12</v>
      </c>
      <c r="M79" s="3">
        <f t="shared" si="5"/>
        <v>0.12</v>
      </c>
    </row>
    <row r="80" spans="1:13" x14ac:dyDescent="0.2">
      <c r="A80" s="1" t="s">
        <v>71</v>
      </c>
      <c r="B80" s="1" t="s">
        <v>131</v>
      </c>
      <c r="C80" s="1">
        <v>74</v>
      </c>
      <c r="D80" s="1" t="s">
        <v>136</v>
      </c>
      <c r="E80" s="1" t="str">
        <f t="shared" si="3"/>
        <v>C 74 K N</v>
      </c>
      <c r="F80" s="1">
        <v>-0.01</v>
      </c>
      <c r="G80" s="1" t="s">
        <v>73</v>
      </c>
      <c r="H80" s="1" t="s">
        <v>131</v>
      </c>
      <c r="I80" s="1">
        <v>74</v>
      </c>
      <c r="J80" s="1" t="s">
        <v>136</v>
      </c>
      <c r="K80" s="1" t="str">
        <f t="shared" si="4"/>
        <v>G 74 K N</v>
      </c>
      <c r="L80" s="1">
        <v>-0.01</v>
      </c>
      <c r="M80" s="3">
        <f t="shared" si="5"/>
        <v>-0.01</v>
      </c>
    </row>
    <row r="81" spans="1:13" x14ac:dyDescent="0.2">
      <c r="A81" s="1" t="s">
        <v>71</v>
      </c>
      <c r="B81" s="1" t="s">
        <v>131</v>
      </c>
      <c r="C81" s="1">
        <v>74</v>
      </c>
      <c r="D81" s="1" t="s">
        <v>129</v>
      </c>
      <c r="E81" s="1" t="str">
        <f t="shared" si="3"/>
        <v>C 74 K R</v>
      </c>
      <c r="F81" s="1">
        <v>-0.04</v>
      </c>
      <c r="G81" s="1" t="s">
        <v>73</v>
      </c>
      <c r="H81" s="1" t="s">
        <v>131</v>
      </c>
      <c r="I81" s="1">
        <v>74</v>
      </c>
      <c r="J81" s="1" t="s">
        <v>129</v>
      </c>
      <c r="K81" s="1" t="str">
        <f t="shared" si="4"/>
        <v>G 74 K R</v>
      </c>
      <c r="L81" s="1">
        <v>-0.04</v>
      </c>
      <c r="M81" s="3">
        <f t="shared" si="5"/>
        <v>-0.04</v>
      </c>
    </row>
    <row r="82" spans="1:13" x14ac:dyDescent="0.2">
      <c r="A82" s="1" t="s">
        <v>93</v>
      </c>
      <c r="B82" s="1" t="s">
        <v>9</v>
      </c>
      <c r="C82" s="1">
        <v>35</v>
      </c>
      <c r="D82" s="1" t="s">
        <v>7</v>
      </c>
      <c r="E82" s="1" t="str">
        <f t="shared" si="3"/>
        <v>D 35 E A</v>
      </c>
      <c r="F82" s="1">
        <v>0.6</v>
      </c>
      <c r="G82" s="1" t="s">
        <v>95</v>
      </c>
      <c r="H82" s="1" t="s">
        <v>9</v>
      </c>
      <c r="I82" s="1">
        <v>35</v>
      </c>
      <c r="J82" s="1" t="s">
        <v>7</v>
      </c>
      <c r="K82" s="1" t="str">
        <f t="shared" si="4"/>
        <v>H 35 E A</v>
      </c>
      <c r="L82" s="1">
        <v>0.53</v>
      </c>
      <c r="M82" s="3">
        <f t="shared" si="5"/>
        <v>0.56499999999999995</v>
      </c>
    </row>
    <row r="83" spans="1:13" x14ac:dyDescent="0.2">
      <c r="A83" s="1" t="s">
        <v>93</v>
      </c>
      <c r="B83" s="1" t="s">
        <v>9</v>
      </c>
      <c r="C83" s="1">
        <v>35</v>
      </c>
      <c r="D83" s="1" t="s">
        <v>93</v>
      </c>
      <c r="E83" s="1" t="str">
        <f t="shared" si="3"/>
        <v>D 35 E D</v>
      </c>
      <c r="F83" s="1">
        <v>0.54</v>
      </c>
      <c r="G83" s="1" t="s">
        <v>95</v>
      </c>
      <c r="H83" s="1" t="s">
        <v>9</v>
      </c>
      <c r="I83" s="1">
        <v>35</v>
      </c>
      <c r="J83" s="1" t="s">
        <v>93</v>
      </c>
      <c r="K83" s="1" t="str">
        <f t="shared" si="4"/>
        <v>H 35 E D</v>
      </c>
      <c r="L83" s="1">
        <v>0.45</v>
      </c>
      <c r="M83" s="3">
        <f t="shared" si="5"/>
        <v>0.495</v>
      </c>
    </row>
    <row r="84" spans="1:13" x14ac:dyDescent="0.2">
      <c r="A84" s="1" t="s">
        <v>93</v>
      </c>
      <c r="B84" s="1" t="s">
        <v>9</v>
      </c>
      <c r="C84" s="1">
        <v>35</v>
      </c>
      <c r="D84" s="1" t="s">
        <v>131</v>
      </c>
      <c r="E84" s="1" t="str">
        <f t="shared" si="3"/>
        <v>D 35 E K</v>
      </c>
      <c r="F84" s="1">
        <v>0.59</v>
      </c>
      <c r="G84" s="1" t="s">
        <v>95</v>
      </c>
      <c r="H84" s="1" t="s">
        <v>9</v>
      </c>
      <c r="I84" s="1">
        <v>35</v>
      </c>
      <c r="J84" s="1" t="s">
        <v>131</v>
      </c>
      <c r="K84" s="1" t="str">
        <f t="shared" si="4"/>
        <v>H 35 E K</v>
      </c>
      <c r="L84" s="1">
        <v>0.42</v>
      </c>
      <c r="M84" s="3">
        <f t="shared" si="5"/>
        <v>0.505</v>
      </c>
    </row>
    <row r="85" spans="1:13" x14ac:dyDescent="0.2">
      <c r="A85" s="1" t="s">
        <v>93</v>
      </c>
      <c r="B85" s="1" t="s">
        <v>130</v>
      </c>
      <c r="C85" s="1">
        <v>36</v>
      </c>
      <c r="D85" s="1" t="s">
        <v>71</v>
      </c>
      <c r="E85" s="1" t="str">
        <f t="shared" si="3"/>
        <v>D 36 S C</v>
      </c>
      <c r="F85" s="1">
        <v>0.24</v>
      </c>
      <c r="G85" s="1" t="s">
        <v>95</v>
      </c>
      <c r="H85" s="1" t="s">
        <v>130</v>
      </c>
      <c r="I85" s="1">
        <v>36</v>
      </c>
      <c r="J85" s="1" t="s">
        <v>71</v>
      </c>
      <c r="K85" s="1" t="str">
        <f t="shared" si="4"/>
        <v>H 36 S C</v>
      </c>
      <c r="L85" s="1">
        <v>0.25</v>
      </c>
      <c r="M85" s="3">
        <f t="shared" si="5"/>
        <v>0.245</v>
      </c>
    </row>
    <row r="86" spans="1:13" x14ac:dyDescent="0.2">
      <c r="A86" s="1" t="s">
        <v>93</v>
      </c>
      <c r="B86" s="1" t="s">
        <v>130</v>
      </c>
      <c r="C86" s="1">
        <v>36</v>
      </c>
      <c r="D86" s="1" t="s">
        <v>136</v>
      </c>
      <c r="E86" s="1" t="str">
        <f t="shared" si="3"/>
        <v>D 36 S N</v>
      </c>
      <c r="F86" s="1">
        <v>0.21</v>
      </c>
      <c r="G86" s="1" t="s">
        <v>95</v>
      </c>
      <c r="H86" s="1" t="s">
        <v>130</v>
      </c>
      <c r="I86" s="1">
        <v>36</v>
      </c>
      <c r="J86" s="1" t="s">
        <v>136</v>
      </c>
      <c r="K86" s="1" t="str">
        <f t="shared" si="4"/>
        <v>H 36 S N</v>
      </c>
      <c r="L86" s="1">
        <v>0.23</v>
      </c>
      <c r="M86" s="3">
        <f t="shared" si="5"/>
        <v>0.22</v>
      </c>
    </row>
    <row r="87" spans="1:13" x14ac:dyDescent="0.2">
      <c r="A87" s="1" t="s">
        <v>93</v>
      </c>
      <c r="B87" s="1" t="s">
        <v>130</v>
      </c>
      <c r="C87" s="1">
        <v>36</v>
      </c>
      <c r="D87" s="1" t="s">
        <v>129</v>
      </c>
      <c r="E87" s="1" t="str">
        <f t="shared" si="3"/>
        <v>D 36 S R</v>
      </c>
      <c r="F87" s="1">
        <v>-0.03</v>
      </c>
      <c r="G87" s="1" t="s">
        <v>95</v>
      </c>
      <c r="H87" s="1" t="s">
        <v>130</v>
      </c>
      <c r="I87" s="1">
        <v>36</v>
      </c>
      <c r="J87" s="1" t="s">
        <v>129</v>
      </c>
      <c r="K87" s="1" t="str">
        <f t="shared" si="4"/>
        <v>H 36 S R</v>
      </c>
      <c r="L87" s="1">
        <v>0</v>
      </c>
      <c r="M87" s="3">
        <f t="shared" si="5"/>
        <v>-1.4999999999999999E-2</v>
      </c>
    </row>
    <row r="88" spans="1:13" x14ac:dyDescent="0.2">
      <c r="A88" s="1" t="s">
        <v>93</v>
      </c>
      <c r="B88" s="1" t="s">
        <v>73</v>
      </c>
      <c r="C88" s="1">
        <v>53</v>
      </c>
      <c r="D88" s="1" t="s">
        <v>7</v>
      </c>
      <c r="E88" s="1" t="str">
        <f t="shared" si="3"/>
        <v>D 53 G A</v>
      </c>
      <c r="F88" s="1">
        <v>0.28000000000000003</v>
      </c>
      <c r="G88" s="1" t="s">
        <v>95</v>
      </c>
      <c r="H88" s="1" t="s">
        <v>73</v>
      </c>
      <c r="I88" s="1">
        <v>53</v>
      </c>
      <c r="J88" s="1" t="s">
        <v>7</v>
      </c>
      <c r="K88" s="1" t="str">
        <f t="shared" si="4"/>
        <v>H 53 G A</v>
      </c>
      <c r="L88" s="1">
        <v>0.28000000000000003</v>
      </c>
      <c r="M88" s="3">
        <f t="shared" si="5"/>
        <v>0.28000000000000003</v>
      </c>
    </row>
    <row r="89" spans="1:13" x14ac:dyDescent="0.2">
      <c r="A89" s="1" t="s">
        <v>93</v>
      </c>
      <c r="B89" s="1" t="s">
        <v>73</v>
      </c>
      <c r="C89" s="1">
        <v>53</v>
      </c>
      <c r="D89" s="1" t="s">
        <v>71</v>
      </c>
      <c r="E89" s="1" t="str">
        <f t="shared" si="3"/>
        <v>D 53 G C</v>
      </c>
      <c r="F89" s="1">
        <v>-0.09</v>
      </c>
      <c r="G89" s="1" t="s">
        <v>95</v>
      </c>
      <c r="H89" s="1" t="s">
        <v>73</v>
      </c>
      <c r="I89" s="1">
        <v>53</v>
      </c>
      <c r="J89" s="1" t="s">
        <v>71</v>
      </c>
      <c r="K89" s="1" t="str">
        <f t="shared" si="4"/>
        <v>H 53 G C</v>
      </c>
      <c r="L89" s="1">
        <v>-0.09</v>
      </c>
      <c r="M89" s="3">
        <f t="shared" si="5"/>
        <v>-0.09</v>
      </c>
    </row>
    <row r="90" spans="1:13" x14ac:dyDescent="0.2">
      <c r="A90" s="1" t="s">
        <v>93</v>
      </c>
      <c r="B90" s="1" t="s">
        <v>73</v>
      </c>
      <c r="C90" s="1">
        <v>53</v>
      </c>
      <c r="D90" s="1" t="s">
        <v>93</v>
      </c>
      <c r="E90" s="1" t="str">
        <f t="shared" si="3"/>
        <v>D 53 G D</v>
      </c>
      <c r="F90" s="1">
        <v>0.08</v>
      </c>
      <c r="G90" s="1" t="s">
        <v>95</v>
      </c>
      <c r="H90" s="1" t="s">
        <v>73</v>
      </c>
      <c r="I90" s="1">
        <v>53</v>
      </c>
      <c r="J90" s="1" t="s">
        <v>93</v>
      </c>
      <c r="K90" s="1" t="str">
        <f t="shared" si="4"/>
        <v>H 53 G D</v>
      </c>
      <c r="L90" s="1">
        <v>0.08</v>
      </c>
      <c r="M90" s="3">
        <f t="shared" si="5"/>
        <v>0.08</v>
      </c>
    </row>
    <row r="91" spans="1:13" x14ac:dyDescent="0.2">
      <c r="A91" s="1" t="s">
        <v>93</v>
      </c>
      <c r="B91" s="1" t="s">
        <v>73</v>
      </c>
      <c r="C91" s="1">
        <v>53</v>
      </c>
      <c r="D91" s="1" t="s">
        <v>129</v>
      </c>
      <c r="E91" s="1" t="str">
        <f t="shared" si="3"/>
        <v>D 53 G R</v>
      </c>
      <c r="F91" s="1">
        <v>0.37</v>
      </c>
      <c r="G91" s="1" t="s">
        <v>95</v>
      </c>
      <c r="H91" s="1" t="s">
        <v>73</v>
      </c>
      <c r="I91" s="1">
        <v>53</v>
      </c>
      <c r="J91" s="1" t="s">
        <v>129</v>
      </c>
      <c r="K91" s="1" t="str">
        <f t="shared" si="4"/>
        <v>H 53 G R</v>
      </c>
      <c r="L91" s="1">
        <v>0.37</v>
      </c>
      <c r="M91" s="3">
        <f t="shared" si="5"/>
        <v>0.37</v>
      </c>
    </row>
    <row r="92" spans="1:13" x14ac:dyDescent="0.2">
      <c r="A92" s="1" t="s">
        <v>93</v>
      </c>
      <c r="B92" s="1" t="s">
        <v>73</v>
      </c>
      <c r="C92" s="1">
        <v>53</v>
      </c>
      <c r="D92" s="1" t="s">
        <v>130</v>
      </c>
      <c r="E92" s="1" t="str">
        <f t="shared" si="3"/>
        <v>D 53 G S</v>
      </c>
      <c r="F92" s="1">
        <v>0.02</v>
      </c>
      <c r="G92" s="1" t="s">
        <v>95</v>
      </c>
      <c r="H92" s="1" t="s">
        <v>73</v>
      </c>
      <c r="I92" s="1">
        <v>53</v>
      </c>
      <c r="J92" s="1" t="s">
        <v>130</v>
      </c>
      <c r="K92" s="1" t="str">
        <f t="shared" si="4"/>
        <v>H 53 G S</v>
      </c>
      <c r="L92" s="1">
        <v>0.02</v>
      </c>
      <c r="M92" s="3">
        <f t="shared" si="5"/>
        <v>0.02</v>
      </c>
    </row>
    <row r="93" spans="1:13" x14ac:dyDescent="0.2">
      <c r="A93" s="1" t="s">
        <v>93</v>
      </c>
      <c r="B93" s="1" t="s">
        <v>93</v>
      </c>
      <c r="C93" s="1">
        <v>68</v>
      </c>
      <c r="D93" s="1" t="s">
        <v>73</v>
      </c>
      <c r="E93" s="1" t="str">
        <f t="shared" si="3"/>
        <v>D 68 D G</v>
      </c>
      <c r="F93" s="1">
        <v>0.55000000000000004</v>
      </c>
      <c r="G93" s="1" t="s">
        <v>95</v>
      </c>
      <c r="H93" s="1" t="s">
        <v>93</v>
      </c>
      <c r="I93" s="1">
        <v>68</v>
      </c>
      <c r="J93" s="1" t="s">
        <v>73</v>
      </c>
      <c r="K93" s="1" t="str">
        <f t="shared" si="4"/>
        <v>H 68 D G</v>
      </c>
      <c r="L93" s="1">
        <v>1.31</v>
      </c>
      <c r="M93" s="3">
        <f t="shared" si="5"/>
        <v>0.93</v>
      </c>
    </row>
    <row r="94" spans="1:13" x14ac:dyDescent="0.2">
      <c r="A94" s="1" t="s">
        <v>93</v>
      </c>
      <c r="B94" s="1" t="s">
        <v>93</v>
      </c>
      <c r="C94" s="1">
        <v>68</v>
      </c>
      <c r="D94" s="1" t="s">
        <v>95</v>
      </c>
      <c r="E94" s="1" t="str">
        <f t="shared" si="3"/>
        <v>D 68 D H</v>
      </c>
      <c r="F94" s="1">
        <v>0.72</v>
      </c>
      <c r="G94" s="1" t="s">
        <v>95</v>
      </c>
      <c r="H94" s="1" t="s">
        <v>93</v>
      </c>
      <c r="I94" s="1">
        <v>68</v>
      </c>
      <c r="J94" s="1" t="s">
        <v>95</v>
      </c>
      <c r="K94" s="1" t="str">
        <f t="shared" si="4"/>
        <v>H 68 D H</v>
      </c>
      <c r="L94" s="1">
        <v>1.08</v>
      </c>
      <c r="M94" s="3">
        <f t="shared" si="5"/>
        <v>0.9</v>
      </c>
    </row>
    <row r="95" spans="1:13" x14ac:dyDescent="0.2">
      <c r="A95" s="1" t="s">
        <v>93</v>
      </c>
      <c r="B95" s="1" t="s">
        <v>93</v>
      </c>
      <c r="C95" s="1">
        <v>68</v>
      </c>
      <c r="D95" s="1" t="s">
        <v>136</v>
      </c>
      <c r="E95" s="1" t="str">
        <f t="shared" si="3"/>
        <v>D 68 D N</v>
      </c>
      <c r="F95" s="1">
        <v>1.1499999999999999</v>
      </c>
      <c r="G95" s="1" t="s">
        <v>95</v>
      </c>
      <c r="H95" s="1" t="s">
        <v>93</v>
      </c>
      <c r="I95" s="1">
        <v>68</v>
      </c>
      <c r="J95" s="1" t="s">
        <v>136</v>
      </c>
      <c r="K95" s="1" t="str">
        <f t="shared" si="4"/>
        <v>H 68 D N</v>
      </c>
      <c r="L95" s="1">
        <v>1.45</v>
      </c>
      <c r="M95" s="3">
        <f t="shared" si="5"/>
        <v>1.3</v>
      </c>
    </row>
    <row r="96" spans="1:13" x14ac:dyDescent="0.2">
      <c r="A96" s="1" t="s">
        <v>93</v>
      </c>
      <c r="B96" s="1" t="s">
        <v>66</v>
      </c>
      <c r="C96" s="1">
        <v>70</v>
      </c>
      <c r="D96" s="1" t="s">
        <v>71</v>
      </c>
      <c r="E96" s="1" t="str">
        <f t="shared" si="3"/>
        <v>D 70 F C</v>
      </c>
      <c r="F96" s="1">
        <v>1.69</v>
      </c>
      <c r="G96" s="1" t="s">
        <v>95</v>
      </c>
      <c r="H96" s="1" t="s">
        <v>66</v>
      </c>
      <c r="I96" s="1">
        <v>70</v>
      </c>
      <c r="J96" s="1" t="s">
        <v>71</v>
      </c>
      <c r="K96" s="1" t="str">
        <f t="shared" si="4"/>
        <v>H 70 F C</v>
      </c>
      <c r="L96" s="1">
        <v>1.7</v>
      </c>
      <c r="M96" s="3">
        <f t="shared" si="5"/>
        <v>1.6950000000000001</v>
      </c>
    </row>
    <row r="97" spans="1:13" x14ac:dyDescent="0.2">
      <c r="A97" s="1" t="s">
        <v>93</v>
      </c>
      <c r="B97" s="1" t="s">
        <v>66</v>
      </c>
      <c r="C97" s="1">
        <v>70</v>
      </c>
      <c r="D97" s="1" t="s">
        <v>133</v>
      </c>
      <c r="E97" s="1" t="str">
        <f t="shared" si="3"/>
        <v>D 70 F L</v>
      </c>
      <c r="F97" s="1">
        <v>1.48</v>
      </c>
      <c r="G97" s="1" t="s">
        <v>95</v>
      </c>
      <c r="H97" s="1" t="s">
        <v>66</v>
      </c>
      <c r="I97" s="1">
        <v>70</v>
      </c>
      <c r="J97" s="1" t="s">
        <v>133</v>
      </c>
      <c r="K97" s="1" t="str">
        <f t="shared" si="4"/>
        <v>H 70 F L</v>
      </c>
      <c r="L97" s="1">
        <v>1.52</v>
      </c>
      <c r="M97" s="3">
        <f t="shared" si="5"/>
        <v>1.5</v>
      </c>
    </row>
    <row r="98" spans="1:13" x14ac:dyDescent="0.2">
      <c r="A98" s="1" t="s">
        <v>93</v>
      </c>
      <c r="B98" s="1" t="s">
        <v>66</v>
      </c>
      <c r="C98" s="1">
        <v>70</v>
      </c>
      <c r="D98" s="1" t="s">
        <v>130</v>
      </c>
      <c r="E98" s="1" t="str">
        <f t="shared" si="3"/>
        <v>D 70 F S</v>
      </c>
      <c r="F98" s="1">
        <v>1.82</v>
      </c>
      <c r="G98" s="1" t="s">
        <v>95</v>
      </c>
      <c r="H98" s="1" t="s">
        <v>66</v>
      </c>
      <c r="I98" s="1">
        <v>70</v>
      </c>
      <c r="J98" s="1" t="s">
        <v>130</v>
      </c>
      <c r="K98" s="1" t="str">
        <f t="shared" si="4"/>
        <v>H 70 F S</v>
      </c>
      <c r="L98" s="1">
        <v>1.88</v>
      </c>
      <c r="M98" s="3">
        <f t="shared" si="5"/>
        <v>1.85</v>
      </c>
    </row>
    <row r="99" spans="1:13" x14ac:dyDescent="0.2">
      <c r="A99" s="1" t="s">
        <v>93</v>
      </c>
      <c r="B99" s="1" t="s">
        <v>9</v>
      </c>
      <c r="C99" s="1">
        <v>71</v>
      </c>
      <c r="D99" s="1" t="s">
        <v>131</v>
      </c>
      <c r="E99" s="1" t="str">
        <f t="shared" si="3"/>
        <v>D 71 E K</v>
      </c>
      <c r="F99" s="1">
        <v>1.25</v>
      </c>
      <c r="G99" s="1" t="s">
        <v>95</v>
      </c>
      <c r="H99" s="1" t="s">
        <v>9</v>
      </c>
      <c r="I99" s="1">
        <v>71</v>
      </c>
      <c r="J99" s="1" t="s">
        <v>131</v>
      </c>
      <c r="K99" s="1" t="str">
        <f t="shared" si="4"/>
        <v>H 71 E K</v>
      </c>
      <c r="L99" s="1">
        <v>1.25</v>
      </c>
      <c r="M99" s="3">
        <f t="shared" si="5"/>
        <v>1.25</v>
      </c>
    </row>
    <row r="100" spans="1:13" x14ac:dyDescent="0.2">
      <c r="A100" s="1" t="s">
        <v>93</v>
      </c>
      <c r="B100" s="1" t="s">
        <v>9</v>
      </c>
      <c r="C100" s="1">
        <v>71</v>
      </c>
      <c r="D100" s="1" t="s">
        <v>132</v>
      </c>
      <c r="E100" s="1" t="str">
        <f t="shared" si="3"/>
        <v>D 71 E Q</v>
      </c>
      <c r="F100" s="1">
        <v>1</v>
      </c>
      <c r="G100" s="1" t="s">
        <v>95</v>
      </c>
      <c r="H100" s="1" t="s">
        <v>9</v>
      </c>
      <c r="I100" s="1">
        <v>71</v>
      </c>
      <c r="J100" s="1" t="s">
        <v>132</v>
      </c>
      <c r="K100" s="1" t="str">
        <f t="shared" si="4"/>
        <v>H 71 E Q</v>
      </c>
      <c r="L100" s="1">
        <v>1</v>
      </c>
      <c r="M100" s="3">
        <f t="shared" si="5"/>
        <v>1</v>
      </c>
    </row>
    <row r="101" spans="1:13" x14ac:dyDescent="0.2">
      <c r="A101" s="1" t="s">
        <v>93</v>
      </c>
      <c r="B101" s="1" t="s">
        <v>9</v>
      </c>
      <c r="C101" s="1">
        <v>76</v>
      </c>
      <c r="D101" s="1" t="s">
        <v>131</v>
      </c>
      <c r="E101" s="1" t="str">
        <f t="shared" si="3"/>
        <v>D 76 E K</v>
      </c>
      <c r="F101" s="1">
        <v>0.48</v>
      </c>
      <c r="G101" s="1" t="s">
        <v>95</v>
      </c>
      <c r="H101" s="1" t="s">
        <v>9</v>
      </c>
      <c r="I101" s="1">
        <v>76</v>
      </c>
      <c r="J101" s="1" t="s">
        <v>131</v>
      </c>
      <c r="K101" s="1" t="str">
        <f t="shared" si="4"/>
        <v>H 76 E K</v>
      </c>
      <c r="L101" s="1">
        <v>0.48</v>
      </c>
      <c r="M101" s="3">
        <f t="shared" si="5"/>
        <v>0.48</v>
      </c>
    </row>
    <row r="102" spans="1:13" x14ac:dyDescent="0.2">
      <c r="A102" s="1" t="s">
        <v>93</v>
      </c>
      <c r="B102" s="1" t="s">
        <v>9</v>
      </c>
      <c r="C102" s="1">
        <v>76</v>
      </c>
      <c r="D102" s="1" t="s">
        <v>132</v>
      </c>
      <c r="E102" s="1" t="str">
        <f t="shared" si="3"/>
        <v>D 76 E Q</v>
      </c>
      <c r="F102" s="1">
        <v>0.7</v>
      </c>
      <c r="G102" s="1" t="s">
        <v>95</v>
      </c>
      <c r="H102" s="1" t="s">
        <v>9</v>
      </c>
      <c r="I102" s="1">
        <v>76</v>
      </c>
      <c r="J102" s="1" t="s">
        <v>132</v>
      </c>
      <c r="K102" s="1" t="str">
        <f t="shared" si="4"/>
        <v>H 76 E Q</v>
      </c>
      <c r="L102" s="1">
        <v>0.7</v>
      </c>
      <c r="M102" s="3">
        <f t="shared" si="5"/>
        <v>0.7</v>
      </c>
    </row>
    <row r="103" spans="1:13" x14ac:dyDescent="0.2">
      <c r="A103" s="1" t="s">
        <v>93</v>
      </c>
      <c r="B103" s="1" t="s">
        <v>140</v>
      </c>
      <c r="C103" s="1">
        <v>88</v>
      </c>
      <c r="D103" s="1" t="s">
        <v>7</v>
      </c>
      <c r="E103" s="1" t="str">
        <f t="shared" si="3"/>
        <v>D 88 T A</v>
      </c>
      <c r="F103" s="1">
        <v>1.07</v>
      </c>
      <c r="G103" s="1" t="s">
        <v>95</v>
      </c>
      <c r="H103" s="1" t="s">
        <v>140</v>
      </c>
      <c r="I103" s="1">
        <v>88</v>
      </c>
      <c r="J103" s="1" t="s">
        <v>7</v>
      </c>
      <c r="K103" s="1" t="str">
        <f t="shared" si="4"/>
        <v>H 88 T A</v>
      </c>
      <c r="L103" s="1">
        <v>1.07</v>
      </c>
      <c r="M103" s="3">
        <f t="shared" si="5"/>
        <v>1.07</v>
      </c>
    </row>
    <row r="104" spans="1:13" x14ac:dyDescent="0.2">
      <c r="A104" s="1" t="s">
        <v>93</v>
      </c>
      <c r="B104" s="1" t="s">
        <v>140</v>
      </c>
      <c r="C104" s="1">
        <v>88</v>
      </c>
      <c r="D104" s="1" t="s">
        <v>139</v>
      </c>
      <c r="E104" s="1" t="str">
        <f t="shared" si="3"/>
        <v>D 88 T I</v>
      </c>
      <c r="F104" s="1">
        <v>0.78</v>
      </c>
      <c r="G104" s="1" t="s">
        <v>95</v>
      </c>
      <c r="H104" s="1" t="s">
        <v>140</v>
      </c>
      <c r="I104" s="1">
        <v>88</v>
      </c>
      <c r="J104" s="1" t="s">
        <v>139</v>
      </c>
      <c r="K104" s="1" t="str">
        <f t="shared" si="4"/>
        <v>H 88 T I</v>
      </c>
      <c r="L104" s="1">
        <v>0.78</v>
      </c>
      <c r="M104" s="3">
        <f t="shared" si="5"/>
        <v>0.78</v>
      </c>
    </row>
    <row r="105" spans="1:13" x14ac:dyDescent="0.2">
      <c r="A105" s="1" t="s">
        <v>93</v>
      </c>
      <c r="B105" s="1" t="s">
        <v>140</v>
      </c>
      <c r="C105" s="1">
        <v>88</v>
      </c>
      <c r="D105" s="1" t="s">
        <v>136</v>
      </c>
      <c r="E105" s="1" t="str">
        <f t="shared" si="3"/>
        <v>D 88 T N</v>
      </c>
      <c r="F105" s="1">
        <v>1.31</v>
      </c>
      <c r="G105" s="1" t="s">
        <v>95</v>
      </c>
      <c r="H105" s="1" t="s">
        <v>140</v>
      </c>
      <c r="I105" s="1">
        <v>88</v>
      </c>
      <c r="J105" s="1" t="s">
        <v>136</v>
      </c>
      <c r="K105" s="1" t="str">
        <f t="shared" si="4"/>
        <v>H 88 T N</v>
      </c>
      <c r="L105" s="1">
        <v>1.31</v>
      </c>
      <c r="M105" s="3">
        <f t="shared" si="5"/>
        <v>1.31</v>
      </c>
    </row>
    <row r="106" spans="1:13" x14ac:dyDescent="0.2">
      <c r="A106" s="1" t="s">
        <v>93</v>
      </c>
      <c r="B106" s="1" t="s">
        <v>140</v>
      </c>
      <c r="C106" s="1">
        <v>88</v>
      </c>
      <c r="D106" s="1" t="s">
        <v>130</v>
      </c>
      <c r="E106" s="1" t="str">
        <f t="shared" si="3"/>
        <v>D 88 T S</v>
      </c>
      <c r="F106" s="1">
        <v>1.03</v>
      </c>
      <c r="G106" s="1" t="s">
        <v>95</v>
      </c>
      <c r="H106" s="1" t="s">
        <v>140</v>
      </c>
      <c r="I106" s="1">
        <v>88</v>
      </c>
      <c r="J106" s="1" t="s">
        <v>130</v>
      </c>
      <c r="K106" s="1" t="str">
        <f t="shared" si="4"/>
        <v>H 88 T S</v>
      </c>
      <c r="L106" s="1">
        <v>1.03</v>
      </c>
      <c r="M106" s="3">
        <f t="shared" si="5"/>
        <v>1.03</v>
      </c>
    </row>
    <row r="107" spans="1:13" x14ac:dyDescent="0.2">
      <c r="A107" s="1" t="s">
        <v>93</v>
      </c>
      <c r="B107" s="1" t="s">
        <v>9</v>
      </c>
      <c r="C107" s="1">
        <v>93</v>
      </c>
      <c r="D107" s="1" t="s">
        <v>93</v>
      </c>
      <c r="E107" s="1" t="str">
        <f t="shared" si="3"/>
        <v>D 93 E D</v>
      </c>
      <c r="F107" s="1">
        <v>0.66</v>
      </c>
      <c r="G107" s="1" t="s">
        <v>95</v>
      </c>
      <c r="H107" s="1" t="s">
        <v>9</v>
      </c>
      <c r="I107" s="1">
        <v>93</v>
      </c>
      <c r="J107" s="1" t="s">
        <v>93</v>
      </c>
      <c r="K107" s="1" t="str">
        <f t="shared" si="4"/>
        <v>H 93 E D</v>
      </c>
      <c r="L107" s="1">
        <v>0.49</v>
      </c>
      <c r="M107" s="3">
        <f t="shared" si="5"/>
        <v>0.57499999999999996</v>
      </c>
    </row>
    <row r="108" spans="1:13" x14ac:dyDescent="0.2">
      <c r="A108" s="1" t="s">
        <v>93</v>
      </c>
      <c r="B108" s="1" t="s">
        <v>9</v>
      </c>
      <c r="C108" s="1">
        <v>93</v>
      </c>
      <c r="D108" s="1" t="s">
        <v>131</v>
      </c>
      <c r="E108" s="1" t="str">
        <f t="shared" si="3"/>
        <v>D 93 E K</v>
      </c>
      <c r="F108" s="1">
        <v>0.66</v>
      </c>
      <c r="G108" s="1" t="s">
        <v>95</v>
      </c>
      <c r="H108" s="1" t="s">
        <v>9</v>
      </c>
      <c r="I108" s="1">
        <v>93</v>
      </c>
      <c r="J108" s="1" t="s">
        <v>131</v>
      </c>
      <c r="K108" s="1" t="str">
        <f t="shared" si="4"/>
        <v>H 93 E K</v>
      </c>
      <c r="L108" s="1">
        <v>0.49</v>
      </c>
      <c r="M108" s="3">
        <f t="shared" si="5"/>
        <v>0.57499999999999996</v>
      </c>
    </row>
    <row r="109" spans="1:13" x14ac:dyDescent="0.2">
      <c r="A109" s="1" t="s">
        <v>93</v>
      </c>
      <c r="B109" s="1" t="s">
        <v>9</v>
      </c>
      <c r="C109" s="1">
        <v>93</v>
      </c>
      <c r="D109" s="1" t="s">
        <v>132</v>
      </c>
      <c r="E109" s="1" t="str">
        <f t="shared" si="3"/>
        <v>D 93 E Q</v>
      </c>
      <c r="F109" s="1">
        <v>1.07</v>
      </c>
      <c r="G109" s="1" t="s">
        <v>95</v>
      </c>
      <c r="H109" s="1" t="s">
        <v>9</v>
      </c>
      <c r="I109" s="1">
        <v>93</v>
      </c>
      <c r="J109" s="1" t="s">
        <v>132</v>
      </c>
      <c r="K109" s="1" t="str">
        <f t="shared" si="4"/>
        <v>H 93 E Q</v>
      </c>
      <c r="L109" s="1">
        <v>0.96</v>
      </c>
      <c r="M109" s="3">
        <f t="shared" si="5"/>
        <v>1.0149999999999999</v>
      </c>
    </row>
    <row r="110" spans="1:13" x14ac:dyDescent="0.2">
      <c r="A110" s="1" t="s">
        <v>93</v>
      </c>
      <c r="B110" s="1" t="s">
        <v>73</v>
      </c>
      <c r="C110" s="1">
        <v>104</v>
      </c>
      <c r="D110" s="1" t="s">
        <v>9</v>
      </c>
      <c r="E110" s="1" t="str">
        <f t="shared" si="3"/>
        <v>D 104 G E</v>
      </c>
      <c r="F110" s="1">
        <v>-0.03</v>
      </c>
      <c r="G110" s="1" t="s">
        <v>95</v>
      </c>
      <c r="H110" s="1" t="s">
        <v>73</v>
      </c>
      <c r="I110" s="1">
        <v>104</v>
      </c>
      <c r="J110" s="1" t="s">
        <v>9</v>
      </c>
      <c r="K110" s="1" t="str">
        <f t="shared" si="4"/>
        <v>H 104 G E</v>
      </c>
      <c r="L110" s="1">
        <v>-0.03</v>
      </c>
      <c r="M110" s="3">
        <f t="shared" si="5"/>
        <v>-0.03</v>
      </c>
    </row>
    <row r="111" spans="1:13" x14ac:dyDescent="0.2">
      <c r="A111" s="1" t="s">
        <v>93</v>
      </c>
      <c r="B111" s="1" t="s">
        <v>73</v>
      </c>
      <c r="C111" s="1">
        <v>104</v>
      </c>
      <c r="D111" s="1" t="s">
        <v>129</v>
      </c>
      <c r="E111" s="1" t="str">
        <f t="shared" si="3"/>
        <v>D 104 G R</v>
      </c>
      <c r="F111" s="1">
        <v>0.15</v>
      </c>
      <c r="G111" s="1" t="s">
        <v>95</v>
      </c>
      <c r="H111" s="1" t="s">
        <v>73</v>
      </c>
      <c r="I111" s="1">
        <v>104</v>
      </c>
      <c r="J111" s="1" t="s">
        <v>129</v>
      </c>
      <c r="K111" s="1" t="str">
        <f t="shared" si="4"/>
        <v>H 104 G R</v>
      </c>
      <c r="L111" s="1">
        <v>0.15</v>
      </c>
      <c r="M111" s="3">
        <f t="shared" si="5"/>
        <v>0.15</v>
      </c>
    </row>
    <row r="112" spans="1:13" x14ac:dyDescent="0.2">
      <c r="A112" s="1" t="s">
        <v>93</v>
      </c>
      <c r="B112" s="1" t="s">
        <v>73</v>
      </c>
      <c r="C112" s="1">
        <v>104</v>
      </c>
      <c r="D112" s="1" t="s">
        <v>141</v>
      </c>
      <c r="E112" s="1" t="str">
        <f t="shared" si="3"/>
        <v>D 104 G W</v>
      </c>
      <c r="F112" s="1">
        <v>0.13</v>
      </c>
      <c r="G112" s="1" t="s">
        <v>95</v>
      </c>
      <c r="H112" s="1" t="s">
        <v>73</v>
      </c>
      <c r="I112" s="1">
        <v>104</v>
      </c>
      <c r="J112" s="1" t="s">
        <v>141</v>
      </c>
      <c r="K112" s="1" t="str">
        <f t="shared" si="4"/>
        <v>H 104 G W</v>
      </c>
      <c r="L112" s="1">
        <v>0.13</v>
      </c>
      <c r="M112" s="3">
        <f t="shared" si="5"/>
        <v>0.13</v>
      </c>
    </row>
    <row r="113" spans="1:13" x14ac:dyDescent="0.2">
      <c r="A113" s="1" t="s">
        <v>93</v>
      </c>
      <c r="B113" s="1" t="s">
        <v>9</v>
      </c>
      <c r="C113" s="1">
        <v>113</v>
      </c>
      <c r="D113" s="1" t="s">
        <v>93</v>
      </c>
      <c r="E113" s="1" t="str">
        <f t="shared" si="3"/>
        <v>D 113 E D</v>
      </c>
      <c r="F113" s="1">
        <v>0.97</v>
      </c>
      <c r="G113" s="1" t="s">
        <v>95</v>
      </c>
      <c r="H113" s="1" t="s">
        <v>9</v>
      </c>
      <c r="I113" s="1">
        <v>113</v>
      </c>
      <c r="J113" s="1" t="s">
        <v>93</v>
      </c>
      <c r="K113" s="1" t="str">
        <f t="shared" si="4"/>
        <v>H 113 E D</v>
      </c>
      <c r="L113" s="1">
        <v>1.08</v>
      </c>
      <c r="M113" s="3">
        <f t="shared" si="5"/>
        <v>1.0249999999999999</v>
      </c>
    </row>
    <row r="114" spans="1:13" x14ac:dyDescent="0.2">
      <c r="A114" s="1" t="s">
        <v>93</v>
      </c>
      <c r="B114" s="1" t="s">
        <v>9</v>
      </c>
      <c r="C114" s="1">
        <v>113</v>
      </c>
      <c r="D114" s="1" t="s">
        <v>131</v>
      </c>
      <c r="E114" s="1" t="str">
        <f t="shared" si="3"/>
        <v>D 113 E K</v>
      </c>
      <c r="F114" s="1">
        <v>1.01</v>
      </c>
      <c r="G114" s="1" t="s">
        <v>95</v>
      </c>
      <c r="H114" s="1" t="s">
        <v>9</v>
      </c>
      <c r="I114" s="1">
        <v>113</v>
      </c>
      <c r="J114" s="1" t="s">
        <v>131</v>
      </c>
      <c r="K114" s="1" t="str">
        <f t="shared" si="4"/>
        <v>H 113 E K</v>
      </c>
      <c r="L114" s="1">
        <v>1.1399999999999999</v>
      </c>
      <c r="M114" s="3">
        <f t="shared" si="5"/>
        <v>1.075</v>
      </c>
    </row>
    <row r="115" spans="1:13" x14ac:dyDescent="0.2">
      <c r="A115" s="1" t="s">
        <v>93</v>
      </c>
      <c r="B115" s="1" t="s">
        <v>9</v>
      </c>
      <c r="C115" s="1">
        <v>113</v>
      </c>
      <c r="D115" s="1" t="s">
        <v>132</v>
      </c>
      <c r="E115" s="1" t="str">
        <f t="shared" si="3"/>
        <v>D 113 E Q</v>
      </c>
      <c r="F115" s="1">
        <v>1.37</v>
      </c>
      <c r="G115" s="1" t="s">
        <v>95</v>
      </c>
      <c r="H115" s="1" t="s">
        <v>9</v>
      </c>
      <c r="I115" s="1">
        <v>113</v>
      </c>
      <c r="J115" s="1" t="s">
        <v>132</v>
      </c>
      <c r="K115" s="1" t="str">
        <f t="shared" si="4"/>
        <v>H 113 E Q</v>
      </c>
      <c r="L115" s="1">
        <v>1.45</v>
      </c>
      <c r="M115" s="3">
        <f t="shared" si="5"/>
        <v>1.41</v>
      </c>
    </row>
  </sheetData>
  <autoFilter ref="A1:M115" xr:uid="{00000000-0009-0000-0000-000001000000}"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5"/>
  <sheetViews>
    <sheetView topLeftCell="A63" workbookViewId="0">
      <selection activeCell="N81" sqref="N81"/>
    </sheetView>
  </sheetViews>
  <sheetFormatPr defaultColWidth="9" defaultRowHeight="18.75" x14ac:dyDescent="0.2"/>
  <cols>
    <col min="1" max="1" width="6.75" style="1" customWidth="1"/>
    <col min="2" max="2" width="8" style="1" customWidth="1"/>
    <col min="3" max="4" width="6.75" style="1" customWidth="1"/>
    <col min="5" max="5" width="5.5" style="1" customWidth="1"/>
    <col min="6" max="6" width="9.25" style="1" customWidth="1"/>
    <col min="7" max="7" width="17.5" style="3" customWidth="1"/>
    <col min="8" max="8" width="8" style="1" customWidth="1"/>
    <col min="9" max="10" width="6.75" style="1" customWidth="1"/>
    <col min="11" max="11" width="5.5" style="1" customWidth="1"/>
    <col min="12" max="12" width="9.25" style="1" customWidth="1"/>
    <col min="13" max="13" width="17.5" style="3" customWidth="1"/>
    <col min="14" max="14" width="10.5" style="3" customWidth="1"/>
  </cols>
  <sheetData>
    <row r="1" spans="1:14" x14ac:dyDescent="0.2">
      <c r="A1" s="1" t="s">
        <v>142</v>
      </c>
      <c r="B1" s="1" t="s">
        <v>0</v>
      </c>
      <c r="C1" s="1" t="s">
        <v>126</v>
      </c>
      <c r="D1" s="1" t="s">
        <v>1</v>
      </c>
      <c r="E1" s="1" t="s">
        <v>127</v>
      </c>
      <c r="F1" s="1" t="s">
        <v>3</v>
      </c>
      <c r="G1" s="3" t="s">
        <v>143</v>
      </c>
      <c r="H1" s="1" t="s">
        <v>0</v>
      </c>
      <c r="I1" s="1" t="s">
        <v>126</v>
      </c>
      <c r="J1" s="1" t="s">
        <v>1</v>
      </c>
      <c r="K1" s="1" t="s">
        <v>127</v>
      </c>
      <c r="L1" s="1" t="s">
        <v>3</v>
      </c>
      <c r="M1" s="3" t="s">
        <v>143</v>
      </c>
      <c r="N1" s="3" t="s">
        <v>6</v>
      </c>
    </row>
    <row r="2" spans="1:14" x14ac:dyDescent="0.2">
      <c r="A2" s="1" t="s">
        <v>144</v>
      </c>
      <c r="B2" s="1" t="s">
        <v>7</v>
      </c>
      <c r="C2" s="1" t="s">
        <v>129</v>
      </c>
      <c r="D2" s="1">
        <v>40</v>
      </c>
      <c r="E2" s="1" t="s">
        <v>71</v>
      </c>
      <c r="F2" s="1" t="s">
        <v>145</v>
      </c>
      <c r="G2" s="3">
        <v>5.5927380919456399E-2</v>
      </c>
      <c r="H2" s="1" t="s">
        <v>9</v>
      </c>
      <c r="I2" s="1" t="s">
        <v>129</v>
      </c>
      <c r="J2" s="1">
        <v>40</v>
      </c>
      <c r="K2" s="1" t="s">
        <v>71</v>
      </c>
      <c r="L2" s="1" t="s">
        <v>146</v>
      </c>
      <c r="M2" s="3">
        <v>-6.6229825218518503E-3</v>
      </c>
      <c r="N2" s="3">
        <f t="shared" ref="N2:N65" si="0">AVERAGE(G2,M2)</f>
        <v>2.4652199198802301E-2</v>
      </c>
    </row>
    <row r="3" spans="1:14" x14ac:dyDescent="0.2">
      <c r="A3" s="1" t="s">
        <v>144</v>
      </c>
      <c r="B3" s="1" t="s">
        <v>7</v>
      </c>
      <c r="C3" s="1" t="s">
        <v>129</v>
      </c>
      <c r="D3" s="1">
        <v>40</v>
      </c>
      <c r="E3" s="1" t="s">
        <v>73</v>
      </c>
      <c r="F3" s="1" t="s">
        <v>147</v>
      </c>
      <c r="G3" s="3">
        <v>0.123370657985409</v>
      </c>
      <c r="H3" s="1" t="s">
        <v>9</v>
      </c>
      <c r="I3" s="1" t="s">
        <v>129</v>
      </c>
      <c r="J3" s="1">
        <v>40</v>
      </c>
      <c r="K3" s="1" t="s">
        <v>73</v>
      </c>
      <c r="L3" s="1" t="s">
        <v>148</v>
      </c>
      <c r="M3" s="3">
        <v>0.124849719305833</v>
      </c>
      <c r="N3" s="3">
        <f t="shared" si="0"/>
        <v>0.124110188645621</v>
      </c>
    </row>
    <row r="4" spans="1:14" x14ac:dyDescent="0.2">
      <c r="A4" s="1" t="s">
        <v>144</v>
      </c>
      <c r="B4" s="1" t="s">
        <v>7</v>
      </c>
      <c r="C4" s="1" t="s">
        <v>129</v>
      </c>
      <c r="D4" s="1">
        <v>40</v>
      </c>
      <c r="E4" s="1" t="s">
        <v>130</v>
      </c>
      <c r="F4" s="1" t="s">
        <v>149</v>
      </c>
      <c r="G4" s="3">
        <v>6.1869157478213303E-2</v>
      </c>
      <c r="H4" s="1" t="s">
        <v>9</v>
      </c>
      <c r="I4" s="1" t="s">
        <v>129</v>
      </c>
      <c r="J4" s="1">
        <v>40</v>
      </c>
      <c r="K4" s="1" t="s">
        <v>130</v>
      </c>
      <c r="L4" s="1" t="s">
        <v>150</v>
      </c>
      <c r="M4" s="3">
        <v>3.05319502949714E-2</v>
      </c>
      <c r="N4" s="3">
        <f t="shared" si="0"/>
        <v>4.6200553886592402E-2</v>
      </c>
    </row>
    <row r="5" spans="1:14" x14ac:dyDescent="0.2">
      <c r="A5" s="1" t="s">
        <v>144</v>
      </c>
      <c r="B5" s="1" t="s">
        <v>7</v>
      </c>
      <c r="C5" s="1" t="s">
        <v>9</v>
      </c>
      <c r="D5" s="1">
        <v>50</v>
      </c>
      <c r="E5" s="1" t="s">
        <v>93</v>
      </c>
      <c r="F5" s="1" t="s">
        <v>151</v>
      </c>
      <c r="G5" s="3">
        <v>-6.1219404141108102E-2</v>
      </c>
      <c r="H5" s="1" t="s">
        <v>9</v>
      </c>
      <c r="I5" s="1" t="s">
        <v>9</v>
      </c>
      <c r="J5" s="1">
        <v>50</v>
      </c>
      <c r="K5" s="1" t="s">
        <v>93</v>
      </c>
      <c r="L5" s="1" t="s">
        <v>152</v>
      </c>
      <c r="M5" s="3">
        <v>-1.47847607731819E-2</v>
      </c>
      <c r="N5" s="3">
        <f t="shared" si="0"/>
        <v>-3.8002082457145002E-2</v>
      </c>
    </row>
    <row r="6" spans="1:14" x14ac:dyDescent="0.2">
      <c r="A6" s="1" t="s">
        <v>144</v>
      </c>
      <c r="B6" s="1" t="s">
        <v>7</v>
      </c>
      <c r="C6" s="1" t="s">
        <v>9</v>
      </c>
      <c r="D6" s="1">
        <v>50</v>
      </c>
      <c r="E6" s="1" t="s">
        <v>73</v>
      </c>
      <c r="F6" s="1" t="s">
        <v>153</v>
      </c>
      <c r="G6" s="3">
        <v>0.781244337558746</v>
      </c>
      <c r="H6" s="1" t="s">
        <v>9</v>
      </c>
      <c r="I6" s="1" t="s">
        <v>9</v>
      </c>
      <c r="J6" s="1">
        <v>50</v>
      </c>
      <c r="K6" s="1" t="s">
        <v>73</v>
      </c>
      <c r="L6" s="1" t="s">
        <v>154</v>
      </c>
      <c r="M6" s="3">
        <v>1.1218711733818001</v>
      </c>
      <c r="N6" s="3">
        <f t="shared" si="0"/>
        <v>0.95155775547027299</v>
      </c>
    </row>
    <row r="7" spans="1:14" x14ac:dyDescent="0.2">
      <c r="A7" s="1" t="s">
        <v>144</v>
      </c>
      <c r="B7" s="1" t="s">
        <v>7</v>
      </c>
      <c r="C7" s="1" t="s">
        <v>9</v>
      </c>
      <c r="D7" s="1">
        <v>50</v>
      </c>
      <c r="E7" s="1" t="s">
        <v>131</v>
      </c>
      <c r="F7" s="1" t="s">
        <v>155</v>
      </c>
      <c r="G7" s="3">
        <v>0.109681454797585</v>
      </c>
      <c r="H7" s="1" t="s">
        <v>9</v>
      </c>
      <c r="I7" s="1" t="s">
        <v>9</v>
      </c>
      <c r="J7" s="1">
        <v>50</v>
      </c>
      <c r="K7" s="1" t="s">
        <v>131</v>
      </c>
      <c r="L7" s="1" t="s">
        <v>156</v>
      </c>
      <c r="M7" s="3">
        <v>0.12586089968681299</v>
      </c>
      <c r="N7" s="3">
        <f t="shared" si="0"/>
        <v>0.117771177242199</v>
      </c>
    </row>
    <row r="8" spans="1:14" x14ac:dyDescent="0.2">
      <c r="A8" s="1" t="s">
        <v>144</v>
      </c>
      <c r="B8" s="1" t="s">
        <v>7</v>
      </c>
      <c r="C8" s="1" t="s">
        <v>9</v>
      </c>
      <c r="D8" s="1">
        <v>50</v>
      </c>
      <c r="E8" s="1" t="s">
        <v>132</v>
      </c>
      <c r="F8" s="1" t="s">
        <v>157</v>
      </c>
      <c r="G8" s="3">
        <v>0.55274922649065605</v>
      </c>
      <c r="H8" s="1" t="s">
        <v>9</v>
      </c>
      <c r="I8" s="1" t="s">
        <v>9</v>
      </c>
      <c r="J8" s="1">
        <v>50</v>
      </c>
      <c r="K8" s="1" t="s">
        <v>132</v>
      </c>
      <c r="L8" s="1" t="s">
        <v>158</v>
      </c>
      <c r="M8" s="3">
        <v>0.73500362038612299</v>
      </c>
      <c r="N8" s="3">
        <f t="shared" si="0"/>
        <v>0.64387642343839002</v>
      </c>
    </row>
    <row r="9" spans="1:14" x14ac:dyDescent="0.2">
      <c r="A9" s="1" t="s">
        <v>144</v>
      </c>
      <c r="B9" s="1" t="s">
        <v>7</v>
      </c>
      <c r="C9" s="1" t="s">
        <v>129</v>
      </c>
      <c r="D9" s="1">
        <v>52</v>
      </c>
      <c r="E9" s="1" t="s">
        <v>71</v>
      </c>
      <c r="F9" s="1" t="s">
        <v>159</v>
      </c>
      <c r="G9" s="3">
        <v>-0.120805247997244</v>
      </c>
      <c r="H9" s="1" t="s">
        <v>9</v>
      </c>
      <c r="I9" s="1" t="s">
        <v>129</v>
      </c>
      <c r="J9" s="1">
        <v>52</v>
      </c>
      <c r="K9" s="1" t="s">
        <v>71</v>
      </c>
      <c r="L9" s="1" t="s">
        <v>160</v>
      </c>
      <c r="M9" s="3">
        <v>-4.45997460434834E-2</v>
      </c>
      <c r="N9" s="3">
        <f t="shared" si="0"/>
        <v>-8.2702497020363697E-2</v>
      </c>
    </row>
    <row r="10" spans="1:14" x14ac:dyDescent="0.2">
      <c r="A10" s="1" t="s">
        <v>144</v>
      </c>
      <c r="B10" s="1" t="s">
        <v>7</v>
      </c>
      <c r="C10" s="1" t="s">
        <v>129</v>
      </c>
      <c r="D10" s="1">
        <v>52</v>
      </c>
      <c r="E10" s="1" t="s">
        <v>95</v>
      </c>
      <c r="F10" s="1" t="s">
        <v>161</v>
      </c>
      <c r="G10" s="3">
        <v>0.131264403462409</v>
      </c>
      <c r="H10" s="1" t="s">
        <v>9</v>
      </c>
      <c r="I10" s="1" t="s">
        <v>129</v>
      </c>
      <c r="J10" s="1">
        <v>52</v>
      </c>
      <c r="K10" s="1" t="s">
        <v>95</v>
      </c>
      <c r="L10" s="1" t="s">
        <v>162</v>
      </c>
      <c r="M10" s="3">
        <v>0.20847367743650999</v>
      </c>
      <c r="N10" s="3">
        <f t="shared" si="0"/>
        <v>0.169869040449459</v>
      </c>
    </row>
    <row r="11" spans="1:14" x14ac:dyDescent="0.2">
      <c r="A11" s="1" t="s">
        <v>144</v>
      </c>
      <c r="B11" s="1" t="s">
        <v>7</v>
      </c>
      <c r="C11" s="1" t="s">
        <v>129</v>
      </c>
      <c r="D11" s="1">
        <v>52</v>
      </c>
      <c r="E11" s="1" t="s">
        <v>133</v>
      </c>
      <c r="F11" s="1" t="s">
        <v>163</v>
      </c>
      <c r="G11" s="3">
        <v>-0.17400359362363799</v>
      </c>
      <c r="H11" s="1" t="s">
        <v>9</v>
      </c>
      <c r="I11" s="1" t="s">
        <v>129</v>
      </c>
      <c r="J11" s="1">
        <v>52</v>
      </c>
      <c r="K11" s="1" t="s">
        <v>133</v>
      </c>
      <c r="L11" s="1" t="s">
        <v>164</v>
      </c>
      <c r="M11" s="3">
        <v>-0.12895789742469699</v>
      </c>
      <c r="N11" s="3">
        <f t="shared" si="0"/>
        <v>-0.15148074552416699</v>
      </c>
    </row>
    <row r="12" spans="1:14" x14ac:dyDescent="0.2">
      <c r="A12" s="1" t="s">
        <v>144</v>
      </c>
      <c r="B12" s="1" t="s">
        <v>7</v>
      </c>
      <c r="C12" s="1" t="s">
        <v>129</v>
      </c>
      <c r="D12" s="1">
        <v>52</v>
      </c>
      <c r="E12" s="1" t="s">
        <v>134</v>
      </c>
      <c r="F12" s="1" t="s">
        <v>165</v>
      </c>
      <c r="G12" s="3">
        <v>-4.2390736440817499E-2</v>
      </c>
      <c r="H12" s="1" t="s">
        <v>9</v>
      </c>
      <c r="I12" s="1" t="s">
        <v>129</v>
      </c>
      <c r="J12" s="1">
        <v>52</v>
      </c>
      <c r="K12" s="1" t="s">
        <v>134</v>
      </c>
      <c r="L12" s="1" t="s">
        <v>166</v>
      </c>
      <c r="M12" s="3">
        <v>7.6510424415270395E-2</v>
      </c>
      <c r="N12" s="3">
        <f t="shared" si="0"/>
        <v>1.7059843987226399E-2</v>
      </c>
    </row>
    <row r="13" spans="1:14" x14ac:dyDescent="0.2">
      <c r="A13" s="1" t="s">
        <v>144</v>
      </c>
      <c r="B13" s="1" t="s">
        <v>7</v>
      </c>
      <c r="C13" s="1" t="s">
        <v>129</v>
      </c>
      <c r="D13" s="1">
        <v>72</v>
      </c>
      <c r="E13" s="1" t="s">
        <v>71</v>
      </c>
      <c r="F13" s="1" t="s">
        <v>167</v>
      </c>
      <c r="G13" s="3">
        <v>0.190849085648854</v>
      </c>
      <c r="H13" s="1" t="s">
        <v>9</v>
      </c>
      <c r="I13" s="1" t="s">
        <v>129</v>
      </c>
      <c r="J13" s="1">
        <v>72</v>
      </c>
      <c r="K13" s="1" t="s">
        <v>71</v>
      </c>
      <c r="L13" s="1" t="s">
        <v>168</v>
      </c>
      <c r="M13" s="3">
        <v>0.41943480571111003</v>
      </c>
      <c r="N13" s="3">
        <f t="shared" si="0"/>
        <v>0.30514194567998199</v>
      </c>
    </row>
    <row r="14" spans="1:14" x14ac:dyDescent="0.2">
      <c r="A14" s="1" t="s">
        <v>144</v>
      </c>
      <c r="B14" s="1" t="s">
        <v>7</v>
      </c>
      <c r="C14" s="1" t="s">
        <v>129</v>
      </c>
      <c r="D14" s="1">
        <v>72</v>
      </c>
      <c r="E14" s="1" t="s">
        <v>133</v>
      </c>
      <c r="F14" s="1" t="s">
        <v>169</v>
      </c>
      <c r="G14" s="3">
        <v>6.3526004552841103E-2</v>
      </c>
      <c r="H14" s="1" t="s">
        <v>9</v>
      </c>
      <c r="I14" s="1" t="s">
        <v>129</v>
      </c>
      <c r="J14" s="1">
        <v>72</v>
      </c>
      <c r="K14" s="1" t="s">
        <v>133</v>
      </c>
      <c r="L14" s="1" t="s">
        <v>170</v>
      </c>
      <c r="M14" s="3">
        <v>0.159677699208259</v>
      </c>
      <c r="N14" s="3">
        <f t="shared" si="0"/>
        <v>0.11160185188055</v>
      </c>
    </row>
    <row r="15" spans="1:14" x14ac:dyDescent="0.2">
      <c r="A15" s="1" t="s">
        <v>144</v>
      </c>
      <c r="B15" s="1" t="s">
        <v>7</v>
      </c>
      <c r="C15" s="1" t="s">
        <v>129</v>
      </c>
      <c r="D15" s="1">
        <v>72</v>
      </c>
      <c r="E15" s="1" t="s">
        <v>135</v>
      </c>
      <c r="F15" s="1" t="s">
        <v>171</v>
      </c>
      <c r="G15" s="3">
        <v>9.8377178112665803E-2</v>
      </c>
      <c r="H15" s="1" t="s">
        <v>9</v>
      </c>
      <c r="I15" s="1" t="s">
        <v>129</v>
      </c>
      <c r="J15" s="1">
        <v>72</v>
      </c>
      <c r="K15" s="1" t="s">
        <v>135</v>
      </c>
      <c r="L15" s="1" t="s">
        <v>172</v>
      </c>
      <c r="M15" s="3">
        <v>0.200691938400268</v>
      </c>
      <c r="N15" s="3">
        <f t="shared" si="0"/>
        <v>0.149534558256467</v>
      </c>
    </row>
    <row r="16" spans="1:14" x14ac:dyDescent="0.2">
      <c r="A16" s="1" t="s">
        <v>144</v>
      </c>
      <c r="B16" s="1" t="s">
        <v>7</v>
      </c>
      <c r="C16" s="1" t="s">
        <v>129</v>
      </c>
      <c r="D16" s="1">
        <v>72</v>
      </c>
      <c r="E16" s="1" t="s">
        <v>134</v>
      </c>
      <c r="F16" s="1" t="s">
        <v>173</v>
      </c>
      <c r="G16" s="3">
        <v>-4.0071738262971203E-2</v>
      </c>
      <c r="H16" s="1" t="s">
        <v>9</v>
      </c>
      <c r="I16" s="1" t="s">
        <v>129</v>
      </c>
      <c r="J16" s="1">
        <v>72</v>
      </c>
      <c r="K16" s="1" t="s">
        <v>134</v>
      </c>
      <c r="L16" s="1" t="s">
        <v>174</v>
      </c>
      <c r="M16" s="3">
        <v>-1.6651749610900801E-3</v>
      </c>
      <c r="N16" s="3">
        <f t="shared" si="0"/>
        <v>-2.08684566120306E-2</v>
      </c>
    </row>
    <row r="17" spans="1:14" x14ac:dyDescent="0.2">
      <c r="A17" s="1" t="s">
        <v>144</v>
      </c>
      <c r="B17" s="1" t="s">
        <v>7</v>
      </c>
      <c r="C17" s="1" t="s">
        <v>129</v>
      </c>
      <c r="D17" s="1">
        <v>72</v>
      </c>
      <c r="E17" s="1" t="s">
        <v>132</v>
      </c>
      <c r="F17" s="1" t="s">
        <v>175</v>
      </c>
      <c r="G17" s="3">
        <v>0.17480064431826201</v>
      </c>
      <c r="H17" s="1" t="s">
        <v>9</v>
      </c>
      <c r="I17" s="1" t="s">
        <v>129</v>
      </c>
      <c r="J17" s="1">
        <v>72</v>
      </c>
      <c r="K17" s="1" t="s">
        <v>132</v>
      </c>
      <c r="L17" s="1" t="s">
        <v>176</v>
      </c>
      <c r="M17" s="3">
        <v>0.21666003763675601</v>
      </c>
      <c r="N17" s="3">
        <f t="shared" si="0"/>
        <v>0.19573034097750899</v>
      </c>
    </row>
    <row r="18" spans="1:14" x14ac:dyDescent="0.2">
      <c r="A18" s="1" t="s">
        <v>144</v>
      </c>
      <c r="B18" s="1" t="s">
        <v>7</v>
      </c>
      <c r="C18" s="1" t="s">
        <v>9</v>
      </c>
      <c r="D18" s="1">
        <v>73</v>
      </c>
      <c r="E18" s="1" t="s">
        <v>93</v>
      </c>
      <c r="F18" s="1" t="s">
        <v>177</v>
      </c>
      <c r="G18" s="3">
        <v>-7.9829156398773193E-2</v>
      </c>
      <c r="H18" s="1" t="s">
        <v>9</v>
      </c>
      <c r="I18" s="1" t="s">
        <v>9</v>
      </c>
      <c r="J18" s="1">
        <v>73</v>
      </c>
      <c r="K18" s="1" t="s">
        <v>93</v>
      </c>
      <c r="L18" s="1" t="s">
        <v>178</v>
      </c>
      <c r="M18" s="3">
        <v>5.9079627195994001E-3</v>
      </c>
      <c r="N18" s="3">
        <f t="shared" si="0"/>
        <v>-3.6960596839586898E-2</v>
      </c>
    </row>
    <row r="19" spans="1:14" x14ac:dyDescent="0.2">
      <c r="A19" s="1" t="s">
        <v>144</v>
      </c>
      <c r="B19" s="1" t="s">
        <v>7</v>
      </c>
      <c r="C19" s="1" t="s">
        <v>9</v>
      </c>
      <c r="D19" s="1">
        <v>73</v>
      </c>
      <c r="E19" s="1" t="s">
        <v>131</v>
      </c>
      <c r="F19" s="1" t="s">
        <v>179</v>
      </c>
      <c r="G19" s="3">
        <v>-3.7800947825113902E-2</v>
      </c>
      <c r="H19" s="1" t="s">
        <v>9</v>
      </c>
      <c r="I19" s="1" t="s">
        <v>9</v>
      </c>
      <c r="J19" s="1">
        <v>73</v>
      </c>
      <c r="K19" s="1" t="s">
        <v>131</v>
      </c>
      <c r="L19" s="1" t="s">
        <v>180</v>
      </c>
      <c r="M19" s="3">
        <v>0.15116881579160599</v>
      </c>
      <c r="N19" s="3">
        <f t="shared" si="0"/>
        <v>5.6683933983245997E-2</v>
      </c>
    </row>
    <row r="20" spans="1:14" x14ac:dyDescent="0.2">
      <c r="A20" s="1" t="s">
        <v>144</v>
      </c>
      <c r="B20" s="1" t="s">
        <v>7</v>
      </c>
      <c r="C20" s="1" t="s">
        <v>9</v>
      </c>
      <c r="D20" s="1">
        <v>73</v>
      </c>
      <c r="E20" s="1" t="s">
        <v>132</v>
      </c>
      <c r="F20" s="1" t="s">
        <v>181</v>
      </c>
      <c r="G20" s="3">
        <v>0.34447173774242401</v>
      </c>
      <c r="H20" s="1" t="s">
        <v>9</v>
      </c>
      <c r="I20" s="1" t="s">
        <v>9</v>
      </c>
      <c r="J20" s="1">
        <v>73</v>
      </c>
      <c r="K20" s="1" t="s">
        <v>132</v>
      </c>
      <c r="L20" s="1" t="s">
        <v>182</v>
      </c>
      <c r="M20" s="3">
        <v>0.60805809497833196</v>
      </c>
      <c r="N20" s="3">
        <f t="shared" si="0"/>
        <v>0.47626491636037799</v>
      </c>
    </row>
    <row r="21" spans="1:14" x14ac:dyDescent="0.2">
      <c r="A21" s="1" t="s">
        <v>144</v>
      </c>
      <c r="B21" s="1" t="s">
        <v>7</v>
      </c>
      <c r="C21" s="1" t="s">
        <v>93</v>
      </c>
      <c r="D21" s="1">
        <v>77</v>
      </c>
      <c r="E21" s="1" t="s">
        <v>9</v>
      </c>
      <c r="F21" s="1" t="s">
        <v>183</v>
      </c>
      <c r="G21" s="3">
        <v>2.3789331316947899E-2</v>
      </c>
      <c r="H21" s="1" t="s">
        <v>9</v>
      </c>
      <c r="I21" s="1" t="s">
        <v>93</v>
      </c>
      <c r="J21" s="1">
        <v>77</v>
      </c>
      <c r="K21" s="1" t="s">
        <v>9</v>
      </c>
      <c r="L21" s="1" t="s">
        <v>184</v>
      </c>
      <c r="M21" s="3">
        <v>-2.4653673171997001E-3</v>
      </c>
      <c r="N21" s="3">
        <f t="shared" si="0"/>
        <v>1.0661981999874099E-2</v>
      </c>
    </row>
    <row r="22" spans="1:14" x14ac:dyDescent="0.2">
      <c r="A22" s="1" t="s">
        <v>144</v>
      </c>
      <c r="B22" s="1" t="s">
        <v>7</v>
      </c>
      <c r="C22" s="1" t="s">
        <v>93</v>
      </c>
      <c r="D22" s="1">
        <v>77</v>
      </c>
      <c r="E22" s="1" t="s">
        <v>95</v>
      </c>
      <c r="F22" s="1" t="s">
        <v>185</v>
      </c>
      <c r="G22" s="3">
        <v>0.198525513211886</v>
      </c>
      <c r="H22" s="1" t="s">
        <v>9</v>
      </c>
      <c r="I22" s="1" t="s">
        <v>93</v>
      </c>
      <c r="J22" s="1">
        <v>77</v>
      </c>
      <c r="K22" s="1" t="s">
        <v>95</v>
      </c>
      <c r="L22" s="1" t="s">
        <v>186</v>
      </c>
      <c r="M22" s="3">
        <v>0.245880126953125</v>
      </c>
      <c r="N22" s="3">
        <f t="shared" si="0"/>
        <v>0.222202820082505</v>
      </c>
    </row>
    <row r="23" spans="1:14" x14ac:dyDescent="0.2">
      <c r="A23" s="1" t="s">
        <v>144</v>
      </c>
      <c r="B23" s="1" t="s">
        <v>7</v>
      </c>
      <c r="C23" s="1" t="s">
        <v>93</v>
      </c>
      <c r="D23" s="1">
        <v>77</v>
      </c>
      <c r="E23" s="1" t="s">
        <v>136</v>
      </c>
      <c r="F23" s="1" t="s">
        <v>187</v>
      </c>
      <c r="G23" s="3">
        <v>7.9264829556147207E-2</v>
      </c>
      <c r="H23" s="1" t="s">
        <v>9</v>
      </c>
      <c r="I23" s="1" t="s">
        <v>93</v>
      </c>
      <c r="J23" s="1">
        <v>77</v>
      </c>
      <c r="K23" s="1" t="s">
        <v>136</v>
      </c>
      <c r="L23" s="1" t="s">
        <v>188</v>
      </c>
      <c r="M23" s="3">
        <v>2.9318084319432499E-2</v>
      </c>
      <c r="N23" s="3">
        <f t="shared" si="0"/>
        <v>5.4291456937789903E-2</v>
      </c>
    </row>
    <row r="24" spans="1:14" x14ac:dyDescent="0.2">
      <c r="A24" s="1" t="s">
        <v>144</v>
      </c>
      <c r="B24" s="1" t="s">
        <v>7</v>
      </c>
      <c r="C24" s="1" t="s">
        <v>93</v>
      </c>
      <c r="D24" s="1">
        <v>77</v>
      </c>
      <c r="E24" s="1" t="s">
        <v>137</v>
      </c>
      <c r="F24" s="1" t="s">
        <v>189</v>
      </c>
      <c r="G24" s="3">
        <v>0.17306105295817001</v>
      </c>
      <c r="H24" s="1" t="s">
        <v>9</v>
      </c>
      <c r="I24" s="1" t="s">
        <v>93</v>
      </c>
      <c r="J24" s="1">
        <v>77</v>
      </c>
      <c r="K24" s="1" t="s">
        <v>137</v>
      </c>
      <c r="L24" s="1" t="s">
        <v>190</v>
      </c>
      <c r="M24" s="3">
        <v>9.9498326579729707E-2</v>
      </c>
      <c r="N24" s="3">
        <f t="shared" si="0"/>
        <v>0.13627968976895</v>
      </c>
    </row>
    <row r="25" spans="1:14" x14ac:dyDescent="0.2">
      <c r="A25" s="1" t="s">
        <v>144</v>
      </c>
      <c r="B25" s="1" t="s">
        <v>7</v>
      </c>
      <c r="C25" s="1" t="s">
        <v>93</v>
      </c>
      <c r="D25" s="1">
        <v>81</v>
      </c>
      <c r="E25" s="1" t="s">
        <v>9</v>
      </c>
      <c r="F25" s="1" t="s">
        <v>191</v>
      </c>
      <c r="G25" s="3">
        <v>4.41308791438738E-2</v>
      </c>
      <c r="H25" s="1" t="s">
        <v>9</v>
      </c>
      <c r="I25" s="1" t="s">
        <v>93</v>
      </c>
      <c r="J25" s="1">
        <v>81</v>
      </c>
      <c r="K25" s="1" t="s">
        <v>9</v>
      </c>
      <c r="L25" s="1" t="s">
        <v>192</v>
      </c>
      <c r="M25" s="3">
        <v>8.8978392382462801E-2</v>
      </c>
      <c r="N25" s="3">
        <f t="shared" si="0"/>
        <v>6.6554635763168293E-2</v>
      </c>
    </row>
    <row r="26" spans="1:14" x14ac:dyDescent="0.2">
      <c r="A26" s="1" t="s">
        <v>144</v>
      </c>
      <c r="B26" s="1" t="s">
        <v>7</v>
      </c>
      <c r="C26" s="1" t="s">
        <v>93</v>
      </c>
      <c r="D26" s="1">
        <v>81</v>
      </c>
      <c r="E26" s="1" t="s">
        <v>95</v>
      </c>
      <c r="F26" s="1" t="s">
        <v>193</v>
      </c>
      <c r="G26" s="3">
        <v>8.2643871506055094E-2</v>
      </c>
      <c r="H26" s="1" t="s">
        <v>9</v>
      </c>
      <c r="I26" s="1" t="s">
        <v>93</v>
      </c>
      <c r="J26" s="1">
        <v>81</v>
      </c>
      <c r="K26" s="1" t="s">
        <v>95</v>
      </c>
      <c r="L26" s="1" t="s">
        <v>194</v>
      </c>
      <c r="M26" s="3">
        <v>0.175927492479483</v>
      </c>
      <c r="N26" s="3">
        <f t="shared" si="0"/>
        <v>0.12928568199276899</v>
      </c>
    </row>
    <row r="27" spans="1:14" x14ac:dyDescent="0.2">
      <c r="A27" s="1" t="s">
        <v>144</v>
      </c>
      <c r="B27" s="1" t="s">
        <v>7</v>
      </c>
      <c r="C27" s="1" t="s">
        <v>93</v>
      </c>
      <c r="D27" s="1">
        <v>81</v>
      </c>
      <c r="E27" s="1" t="s">
        <v>136</v>
      </c>
      <c r="F27" s="1" t="s">
        <v>195</v>
      </c>
      <c r="G27" s="3">
        <v>4.4026797016461602E-2</v>
      </c>
      <c r="H27" s="1" t="s">
        <v>9</v>
      </c>
      <c r="I27" s="1" t="s">
        <v>93</v>
      </c>
      <c r="J27" s="1">
        <v>81</v>
      </c>
      <c r="K27" s="1" t="s">
        <v>136</v>
      </c>
      <c r="L27" s="1" t="s">
        <v>196</v>
      </c>
      <c r="M27" s="3">
        <v>0.12748768428961399</v>
      </c>
      <c r="N27" s="3">
        <f t="shared" si="0"/>
        <v>8.5757240653037803E-2</v>
      </c>
    </row>
    <row r="28" spans="1:14" x14ac:dyDescent="0.2">
      <c r="A28" s="1" t="s">
        <v>144</v>
      </c>
      <c r="B28" s="1" t="s">
        <v>7</v>
      </c>
      <c r="C28" s="1" t="s">
        <v>93</v>
      </c>
      <c r="D28" s="1">
        <v>81</v>
      </c>
      <c r="E28" s="1" t="s">
        <v>137</v>
      </c>
      <c r="F28" s="1" t="s">
        <v>197</v>
      </c>
      <c r="G28" s="3">
        <v>5.5571034550666802E-2</v>
      </c>
      <c r="H28" s="1" t="s">
        <v>9</v>
      </c>
      <c r="I28" s="1" t="s">
        <v>93</v>
      </c>
      <c r="J28" s="1">
        <v>81</v>
      </c>
      <c r="K28" s="1" t="s">
        <v>137</v>
      </c>
      <c r="L28" s="1" t="s">
        <v>198</v>
      </c>
      <c r="M28" s="3">
        <v>0.16495428234338699</v>
      </c>
      <c r="N28" s="3">
        <f t="shared" si="0"/>
        <v>0.110262658447027</v>
      </c>
    </row>
    <row r="29" spans="1:14" x14ac:dyDescent="0.2">
      <c r="A29" s="1" t="s">
        <v>144</v>
      </c>
      <c r="B29" s="1" t="s">
        <v>7</v>
      </c>
      <c r="C29" s="1" t="s">
        <v>129</v>
      </c>
      <c r="D29" s="1">
        <v>83</v>
      </c>
      <c r="E29" s="1" t="s">
        <v>71</v>
      </c>
      <c r="F29" s="1" t="s">
        <v>199</v>
      </c>
      <c r="G29" s="3">
        <v>0.147500311334927</v>
      </c>
      <c r="H29" s="1" t="s">
        <v>9</v>
      </c>
      <c r="I29" s="1" t="s">
        <v>129</v>
      </c>
      <c r="J29" s="1">
        <v>83</v>
      </c>
      <c r="K29" s="1" t="s">
        <v>71</v>
      </c>
      <c r="L29" s="1" t="s">
        <v>200</v>
      </c>
      <c r="M29" s="3">
        <v>0.11383068064848501</v>
      </c>
      <c r="N29" s="3">
        <f t="shared" si="0"/>
        <v>0.13066549599170599</v>
      </c>
    </row>
    <row r="30" spans="1:14" x14ac:dyDescent="0.2">
      <c r="A30" s="1" t="s">
        <v>144</v>
      </c>
      <c r="B30" s="1" t="s">
        <v>7</v>
      </c>
      <c r="C30" s="1" t="s">
        <v>129</v>
      </c>
      <c r="D30" s="1">
        <v>83</v>
      </c>
      <c r="E30" s="1" t="s">
        <v>130</v>
      </c>
      <c r="F30" s="1" t="s">
        <v>201</v>
      </c>
      <c r="G30" s="3">
        <v>0.21920380741357801</v>
      </c>
      <c r="H30" s="1" t="s">
        <v>9</v>
      </c>
      <c r="I30" s="1" t="s">
        <v>129</v>
      </c>
      <c r="J30" s="1">
        <v>83</v>
      </c>
      <c r="K30" s="1" t="s">
        <v>130</v>
      </c>
      <c r="L30" s="1" t="s">
        <v>202</v>
      </c>
      <c r="M30" s="3">
        <v>0.24240272492170301</v>
      </c>
      <c r="N30" s="3">
        <f t="shared" si="0"/>
        <v>0.23080326616764099</v>
      </c>
    </row>
    <row r="31" spans="1:14" x14ac:dyDescent="0.2">
      <c r="A31" s="1" t="s">
        <v>144</v>
      </c>
      <c r="B31" s="1" t="s">
        <v>7</v>
      </c>
      <c r="C31" s="1" t="s">
        <v>9</v>
      </c>
      <c r="D31" s="1">
        <v>97</v>
      </c>
      <c r="E31" s="1" t="s">
        <v>131</v>
      </c>
      <c r="F31" s="1" t="s">
        <v>203</v>
      </c>
      <c r="G31" s="3">
        <v>0.99714354177316</v>
      </c>
      <c r="H31" s="1" t="s">
        <v>9</v>
      </c>
      <c r="I31" s="1" t="s">
        <v>9</v>
      </c>
      <c r="J31" s="1">
        <v>97</v>
      </c>
      <c r="K31" s="1" t="s">
        <v>131</v>
      </c>
      <c r="L31" s="1" t="s">
        <v>204</v>
      </c>
      <c r="M31" s="3">
        <v>1.6802863279978399</v>
      </c>
      <c r="N31" s="3">
        <f t="shared" si="0"/>
        <v>1.3387149348855001</v>
      </c>
    </row>
    <row r="32" spans="1:14" x14ac:dyDescent="0.2">
      <c r="A32" s="1" t="s">
        <v>144</v>
      </c>
      <c r="B32" s="1" t="s">
        <v>7</v>
      </c>
      <c r="C32" s="1" t="s">
        <v>9</v>
      </c>
      <c r="D32" s="1">
        <v>97</v>
      </c>
      <c r="E32" s="1" t="s">
        <v>132</v>
      </c>
      <c r="F32" s="1" t="s">
        <v>205</v>
      </c>
      <c r="G32" s="3">
        <v>0.90770226716995195</v>
      </c>
      <c r="H32" s="1" t="s">
        <v>9</v>
      </c>
      <c r="I32" s="1" t="s">
        <v>9</v>
      </c>
      <c r="J32" s="1">
        <v>97</v>
      </c>
      <c r="K32" s="1" t="s">
        <v>132</v>
      </c>
      <c r="L32" s="1" t="s">
        <v>206</v>
      </c>
      <c r="M32" s="3">
        <v>0.96643171707789099</v>
      </c>
      <c r="N32" s="3">
        <f t="shared" si="0"/>
        <v>0.93706699212392097</v>
      </c>
    </row>
    <row r="33" spans="1:14" x14ac:dyDescent="0.2">
      <c r="A33" s="1" t="s">
        <v>144</v>
      </c>
      <c r="B33" s="1" t="s">
        <v>7</v>
      </c>
      <c r="C33" s="1" t="s">
        <v>9</v>
      </c>
      <c r="D33" s="1">
        <v>105</v>
      </c>
      <c r="E33" s="1" t="s">
        <v>93</v>
      </c>
      <c r="F33" s="1" t="s">
        <v>207</v>
      </c>
      <c r="G33" s="3">
        <v>-0.101363266507784</v>
      </c>
      <c r="H33" s="1" t="s">
        <v>9</v>
      </c>
      <c r="I33" s="1" t="s">
        <v>9</v>
      </c>
      <c r="J33" s="1">
        <v>105</v>
      </c>
      <c r="K33" s="1" t="s">
        <v>93</v>
      </c>
      <c r="L33" s="1" t="s">
        <v>208</v>
      </c>
      <c r="M33" s="3">
        <v>-3.2093822956085198E-2</v>
      </c>
      <c r="N33" s="3">
        <f t="shared" si="0"/>
        <v>-6.6728544731934597E-2</v>
      </c>
    </row>
    <row r="34" spans="1:14" x14ac:dyDescent="0.2">
      <c r="A34" s="1" t="s">
        <v>144</v>
      </c>
      <c r="B34" s="1" t="s">
        <v>7</v>
      </c>
      <c r="C34" s="1" t="s">
        <v>9</v>
      </c>
      <c r="D34" s="1">
        <v>105</v>
      </c>
      <c r="E34" s="1" t="s">
        <v>131</v>
      </c>
      <c r="F34" s="1" t="s">
        <v>209</v>
      </c>
      <c r="G34" s="3">
        <v>-1.0102893859148001</v>
      </c>
      <c r="H34" s="1" t="s">
        <v>9</v>
      </c>
      <c r="I34" s="1" t="s">
        <v>9</v>
      </c>
      <c r="J34" s="1">
        <v>105</v>
      </c>
      <c r="K34" s="1" t="s">
        <v>131</v>
      </c>
      <c r="L34" s="1" t="s">
        <v>210</v>
      </c>
      <c r="M34" s="3">
        <v>-0.90391833086808504</v>
      </c>
      <c r="N34" s="3">
        <f t="shared" si="0"/>
        <v>-0.95710385839144296</v>
      </c>
    </row>
    <row r="35" spans="1:14" x14ac:dyDescent="0.2">
      <c r="A35" s="1" t="s">
        <v>144</v>
      </c>
      <c r="B35" s="1" t="s">
        <v>7</v>
      </c>
      <c r="C35" s="1" t="s">
        <v>9</v>
      </c>
      <c r="D35" s="1">
        <v>105</v>
      </c>
      <c r="E35" s="1" t="s">
        <v>132</v>
      </c>
      <c r="F35" s="1" t="s">
        <v>211</v>
      </c>
      <c r="G35" s="3">
        <v>0.369749019543329</v>
      </c>
      <c r="H35" s="1" t="s">
        <v>9</v>
      </c>
      <c r="I35" s="1" t="s">
        <v>9</v>
      </c>
      <c r="J35" s="1">
        <v>105</v>
      </c>
      <c r="K35" s="1" t="s">
        <v>132</v>
      </c>
      <c r="L35" s="1" t="s">
        <v>212</v>
      </c>
      <c r="M35" s="3">
        <v>0.58591127395629805</v>
      </c>
      <c r="N35" s="3">
        <f t="shared" si="0"/>
        <v>0.477830146749814</v>
      </c>
    </row>
    <row r="36" spans="1:14" x14ac:dyDescent="0.2">
      <c r="A36" s="1" t="s">
        <v>144</v>
      </c>
      <c r="B36" s="1" t="s">
        <v>7</v>
      </c>
      <c r="C36" s="1" t="s">
        <v>9</v>
      </c>
      <c r="D36" s="1">
        <v>105</v>
      </c>
      <c r="E36" s="1" t="s">
        <v>137</v>
      </c>
      <c r="F36" s="1" t="s">
        <v>213</v>
      </c>
      <c r="G36" s="3">
        <v>-0.684990967313448</v>
      </c>
      <c r="H36" s="1" t="s">
        <v>9</v>
      </c>
      <c r="I36" s="1" t="s">
        <v>9</v>
      </c>
      <c r="J36" s="1">
        <v>105</v>
      </c>
      <c r="K36" s="1" t="s">
        <v>137</v>
      </c>
      <c r="L36" s="1" t="s">
        <v>214</v>
      </c>
      <c r="M36" s="3">
        <v>-0.12520777682463299</v>
      </c>
      <c r="N36" s="3">
        <f t="shared" si="0"/>
        <v>-0.40509937206904101</v>
      </c>
    </row>
    <row r="37" spans="1:14" x14ac:dyDescent="0.2">
      <c r="A37" s="1" t="s">
        <v>144</v>
      </c>
      <c r="B37" s="1" t="s">
        <v>7</v>
      </c>
      <c r="C37" s="1" t="s">
        <v>93</v>
      </c>
      <c r="D37" s="1">
        <v>106</v>
      </c>
      <c r="E37" s="1" t="s">
        <v>95</v>
      </c>
      <c r="F37" s="1" t="s">
        <v>215</v>
      </c>
      <c r="G37" s="3">
        <v>0.82049002995093601</v>
      </c>
      <c r="H37" s="1" t="s">
        <v>9</v>
      </c>
      <c r="I37" s="1" t="s">
        <v>93</v>
      </c>
      <c r="J37" s="1">
        <v>106</v>
      </c>
      <c r="K37" s="1" t="s">
        <v>95</v>
      </c>
      <c r="L37" s="1" t="s">
        <v>216</v>
      </c>
      <c r="M37" s="3">
        <v>1.16248219708601</v>
      </c>
      <c r="N37" s="3">
        <f t="shared" si="0"/>
        <v>0.99148611351847304</v>
      </c>
    </row>
    <row r="38" spans="1:14" x14ac:dyDescent="0.2">
      <c r="A38" s="1" t="s">
        <v>144</v>
      </c>
      <c r="B38" s="1" t="s">
        <v>7</v>
      </c>
      <c r="C38" s="1" t="s">
        <v>93</v>
      </c>
      <c r="D38" s="1">
        <v>106</v>
      </c>
      <c r="E38" s="1" t="s">
        <v>136</v>
      </c>
      <c r="F38" s="1" t="s">
        <v>217</v>
      </c>
      <c r="G38" s="3">
        <v>1.2431317667166299</v>
      </c>
      <c r="H38" s="1" t="s">
        <v>9</v>
      </c>
      <c r="I38" s="1" t="s">
        <v>93</v>
      </c>
      <c r="J38" s="1">
        <v>106</v>
      </c>
      <c r="K38" s="1" t="s">
        <v>136</v>
      </c>
      <c r="L38" s="1" t="s">
        <v>218</v>
      </c>
      <c r="M38" s="3">
        <v>1.1881406853596299</v>
      </c>
      <c r="N38" s="3">
        <f t="shared" si="0"/>
        <v>1.2156362260381299</v>
      </c>
    </row>
    <row r="39" spans="1:14" x14ac:dyDescent="0.2">
      <c r="A39" s="1" t="s">
        <v>144</v>
      </c>
      <c r="B39" s="1" t="s">
        <v>7</v>
      </c>
      <c r="C39" s="1" t="s">
        <v>93</v>
      </c>
      <c r="D39" s="1">
        <v>106</v>
      </c>
      <c r="E39" s="1" t="s">
        <v>138</v>
      </c>
      <c r="F39" s="1" t="s">
        <v>219</v>
      </c>
      <c r="G39" s="3">
        <v>0.36553606390952997</v>
      </c>
      <c r="H39" s="1" t="s">
        <v>9</v>
      </c>
      <c r="I39" s="1" t="s">
        <v>93</v>
      </c>
      <c r="J39" s="1">
        <v>106</v>
      </c>
      <c r="K39" s="1" t="s">
        <v>138</v>
      </c>
      <c r="L39" s="1" t="s">
        <v>220</v>
      </c>
      <c r="M39" s="3">
        <v>0.58738181988398197</v>
      </c>
      <c r="N39" s="3">
        <f t="shared" si="0"/>
        <v>0.47645894189675603</v>
      </c>
    </row>
    <row r="40" spans="1:14" x14ac:dyDescent="0.2">
      <c r="A40" s="1" t="s">
        <v>144</v>
      </c>
      <c r="B40" s="1" t="s">
        <v>7</v>
      </c>
      <c r="C40" s="1" t="s">
        <v>7</v>
      </c>
      <c r="D40" s="1">
        <v>127</v>
      </c>
      <c r="E40" s="1" t="s">
        <v>9</v>
      </c>
      <c r="F40" s="1" t="s">
        <v>221</v>
      </c>
      <c r="G40" s="3">
        <v>0.73173820972442605</v>
      </c>
      <c r="H40" s="1" t="s">
        <v>9</v>
      </c>
      <c r="I40" s="1" t="s">
        <v>7</v>
      </c>
      <c r="J40" s="1">
        <v>127</v>
      </c>
      <c r="K40" s="1" t="s">
        <v>9</v>
      </c>
      <c r="L40" s="1" t="s">
        <v>222</v>
      </c>
      <c r="M40" s="3">
        <v>2.0136965513229299</v>
      </c>
      <c r="N40" s="3">
        <f t="shared" si="0"/>
        <v>1.3727173805236801</v>
      </c>
    </row>
    <row r="41" spans="1:14" x14ac:dyDescent="0.2">
      <c r="A41" s="1" t="s">
        <v>144</v>
      </c>
      <c r="B41" s="1" t="s">
        <v>7</v>
      </c>
      <c r="C41" s="1" t="s">
        <v>7</v>
      </c>
      <c r="D41" s="1">
        <v>127</v>
      </c>
      <c r="E41" s="1" t="s">
        <v>73</v>
      </c>
      <c r="F41" s="1" t="s">
        <v>223</v>
      </c>
      <c r="G41" s="3">
        <v>1.1749556461970001</v>
      </c>
      <c r="H41" s="1" t="s">
        <v>9</v>
      </c>
      <c r="I41" s="1" t="s">
        <v>7</v>
      </c>
      <c r="J41" s="1">
        <v>127</v>
      </c>
      <c r="K41" s="1" t="s">
        <v>73</v>
      </c>
      <c r="L41" s="1" t="s">
        <v>224</v>
      </c>
      <c r="M41" s="3">
        <v>1.4943268497784901</v>
      </c>
      <c r="N41" s="3">
        <f t="shared" si="0"/>
        <v>1.3346412479877401</v>
      </c>
    </row>
    <row r="42" spans="1:14" x14ac:dyDescent="0.2">
      <c r="A42" s="1" t="s">
        <v>144</v>
      </c>
      <c r="B42" s="1" t="s">
        <v>7</v>
      </c>
      <c r="C42" s="1" t="s">
        <v>7</v>
      </c>
      <c r="D42" s="1">
        <v>127</v>
      </c>
      <c r="E42" s="1" t="s">
        <v>134</v>
      </c>
      <c r="F42" s="1" t="s">
        <v>225</v>
      </c>
      <c r="G42" s="3">
        <v>-0.35608088970184298</v>
      </c>
      <c r="H42" s="1" t="s">
        <v>9</v>
      </c>
      <c r="I42" s="1" t="s">
        <v>7</v>
      </c>
      <c r="J42" s="1">
        <v>127</v>
      </c>
      <c r="K42" s="1" t="s">
        <v>134</v>
      </c>
      <c r="L42" s="1" t="s">
        <v>226</v>
      </c>
      <c r="M42" s="3">
        <v>-9.0423847238222693E-2</v>
      </c>
      <c r="N42" s="3">
        <f t="shared" si="0"/>
        <v>-0.22325236847003299</v>
      </c>
    </row>
    <row r="43" spans="1:14" x14ac:dyDescent="0.2">
      <c r="A43" s="1" t="s">
        <v>144</v>
      </c>
      <c r="B43" s="1" t="s">
        <v>7</v>
      </c>
      <c r="C43" s="1" t="s">
        <v>7</v>
      </c>
      <c r="D43" s="1">
        <v>127</v>
      </c>
      <c r="E43" s="1" t="s">
        <v>130</v>
      </c>
      <c r="F43" s="1" t="s">
        <v>227</v>
      </c>
      <c r="G43" s="3">
        <v>-0.505901445945104</v>
      </c>
      <c r="H43" s="1" t="s">
        <v>9</v>
      </c>
      <c r="I43" s="1" t="s">
        <v>7</v>
      </c>
      <c r="J43" s="1">
        <v>127</v>
      </c>
      <c r="K43" s="1" t="s">
        <v>130</v>
      </c>
      <c r="L43" s="1" t="s">
        <v>228</v>
      </c>
      <c r="M43" s="3">
        <v>-0.33636370797951998</v>
      </c>
      <c r="N43" s="3">
        <f t="shared" si="0"/>
        <v>-0.42113257696231199</v>
      </c>
    </row>
    <row r="44" spans="1:14" x14ac:dyDescent="0.2">
      <c r="A44" s="1" t="s">
        <v>144</v>
      </c>
      <c r="B44" s="1" t="s">
        <v>7</v>
      </c>
      <c r="C44" s="1" t="s">
        <v>7</v>
      </c>
      <c r="D44" s="1">
        <v>127</v>
      </c>
      <c r="E44" s="1" t="s">
        <v>137</v>
      </c>
      <c r="F44" s="1" t="s">
        <v>229</v>
      </c>
      <c r="G44" s="3">
        <v>-0.43704368174076003</v>
      </c>
      <c r="H44" s="1" t="s">
        <v>9</v>
      </c>
      <c r="I44" s="1" t="s">
        <v>7</v>
      </c>
      <c r="J44" s="1">
        <v>127</v>
      </c>
      <c r="K44" s="1" t="s">
        <v>137</v>
      </c>
      <c r="L44" s="1" t="s">
        <v>230</v>
      </c>
      <c r="M44" s="3">
        <v>-4.7012294332186302E-2</v>
      </c>
      <c r="N44" s="3">
        <f t="shared" si="0"/>
        <v>-0.24202798803647299</v>
      </c>
    </row>
    <row r="45" spans="1:14" x14ac:dyDescent="0.2">
      <c r="A45" s="1" t="s">
        <v>144</v>
      </c>
      <c r="B45" s="1" t="s">
        <v>7</v>
      </c>
      <c r="C45" s="1" t="s">
        <v>129</v>
      </c>
      <c r="D45" s="1">
        <v>131</v>
      </c>
      <c r="E45" s="1" t="s">
        <v>71</v>
      </c>
      <c r="F45" s="1" t="s">
        <v>231</v>
      </c>
      <c r="G45" s="3">
        <v>1.5908284584681101</v>
      </c>
      <c r="H45" s="1" t="s">
        <v>9</v>
      </c>
      <c r="I45" s="1" t="s">
        <v>129</v>
      </c>
      <c r="J45" s="1">
        <v>131</v>
      </c>
      <c r="K45" s="1" t="s">
        <v>71</v>
      </c>
      <c r="L45" s="1" t="s">
        <v>232</v>
      </c>
      <c r="M45" s="3">
        <v>1.71707077821095</v>
      </c>
      <c r="N45" s="3">
        <f t="shared" si="0"/>
        <v>1.6539496183395299</v>
      </c>
    </row>
    <row r="46" spans="1:14" x14ac:dyDescent="0.2">
      <c r="A46" s="1" t="s">
        <v>144</v>
      </c>
      <c r="B46" s="1" t="s">
        <v>7</v>
      </c>
      <c r="C46" s="1" t="s">
        <v>129</v>
      </c>
      <c r="D46" s="1">
        <v>131</v>
      </c>
      <c r="E46" s="1" t="s">
        <v>73</v>
      </c>
      <c r="F46" s="1" t="s">
        <v>233</v>
      </c>
      <c r="G46" s="3">
        <v>2.6303278605143201</v>
      </c>
      <c r="H46" s="1" t="s">
        <v>9</v>
      </c>
      <c r="I46" s="1" t="s">
        <v>129</v>
      </c>
      <c r="J46" s="1">
        <v>131</v>
      </c>
      <c r="K46" s="1" t="s">
        <v>73</v>
      </c>
      <c r="L46" s="1" t="s">
        <v>234</v>
      </c>
      <c r="M46" s="3">
        <v>2.6580884853998801</v>
      </c>
      <c r="N46" s="3">
        <f t="shared" si="0"/>
        <v>2.6442081729571001</v>
      </c>
    </row>
    <row r="47" spans="1:14" x14ac:dyDescent="0.2">
      <c r="A47" s="1" t="s">
        <v>144</v>
      </c>
      <c r="B47" s="1" t="s">
        <v>7</v>
      </c>
      <c r="C47" s="1" t="s">
        <v>129</v>
      </c>
      <c r="D47" s="1">
        <v>131</v>
      </c>
      <c r="E47" s="1" t="s">
        <v>95</v>
      </c>
      <c r="F47" s="1" t="s">
        <v>235</v>
      </c>
      <c r="G47" s="3">
        <v>1.23970369001229</v>
      </c>
      <c r="H47" s="1" t="s">
        <v>9</v>
      </c>
      <c r="I47" s="1" t="s">
        <v>129</v>
      </c>
      <c r="J47" s="1">
        <v>131</v>
      </c>
      <c r="K47" s="1" t="s">
        <v>95</v>
      </c>
      <c r="L47" s="1" t="s">
        <v>236</v>
      </c>
      <c r="M47" s="3">
        <v>1.3993654896815599</v>
      </c>
      <c r="N47" s="3">
        <f t="shared" si="0"/>
        <v>1.31953458984693</v>
      </c>
    </row>
    <row r="48" spans="1:14" x14ac:dyDescent="0.2">
      <c r="A48" s="1" t="s">
        <v>144</v>
      </c>
      <c r="B48" s="1" t="s">
        <v>7</v>
      </c>
      <c r="C48" s="1" t="s">
        <v>129</v>
      </c>
      <c r="D48" s="1">
        <v>131</v>
      </c>
      <c r="E48" s="1" t="s">
        <v>134</v>
      </c>
      <c r="F48" s="1" t="s">
        <v>237</v>
      </c>
      <c r="G48" s="3">
        <v>3.2041053771972599</v>
      </c>
      <c r="H48" s="1" t="s">
        <v>9</v>
      </c>
      <c r="I48" s="1" t="s">
        <v>129</v>
      </c>
      <c r="J48" s="1">
        <v>131</v>
      </c>
      <c r="K48" s="1" t="s">
        <v>134</v>
      </c>
      <c r="L48" s="1" t="s">
        <v>238</v>
      </c>
      <c r="M48" s="3">
        <v>3.4792689482371002</v>
      </c>
      <c r="N48" s="3">
        <f t="shared" si="0"/>
        <v>3.34168716271718</v>
      </c>
    </row>
    <row r="49" spans="1:14" x14ac:dyDescent="0.2">
      <c r="A49" s="1" t="s">
        <v>144</v>
      </c>
      <c r="B49" s="1" t="s">
        <v>7</v>
      </c>
      <c r="C49" s="1" t="s">
        <v>129</v>
      </c>
      <c r="D49" s="1">
        <v>131</v>
      </c>
      <c r="E49" s="1" t="s">
        <v>132</v>
      </c>
      <c r="F49" s="1" t="s">
        <v>239</v>
      </c>
      <c r="G49" s="3">
        <v>1.6419034202893501</v>
      </c>
      <c r="H49" s="1" t="s">
        <v>9</v>
      </c>
      <c r="I49" s="1" t="s">
        <v>129</v>
      </c>
      <c r="J49" s="1">
        <v>131</v>
      </c>
      <c r="K49" s="1" t="s">
        <v>132</v>
      </c>
      <c r="L49" s="1" t="s">
        <v>240</v>
      </c>
      <c r="M49" s="3">
        <v>1.8243262122074699</v>
      </c>
      <c r="N49" s="3">
        <f t="shared" si="0"/>
        <v>1.73311481624841</v>
      </c>
    </row>
    <row r="50" spans="1:14" x14ac:dyDescent="0.2">
      <c r="A50" s="1" t="s">
        <v>144</v>
      </c>
      <c r="B50" s="1" t="s">
        <v>7</v>
      </c>
      <c r="C50" s="1" t="s">
        <v>9</v>
      </c>
      <c r="D50" s="1">
        <v>133</v>
      </c>
      <c r="E50" s="1" t="s">
        <v>93</v>
      </c>
      <c r="F50" s="1" t="s">
        <v>241</v>
      </c>
      <c r="G50" s="3">
        <v>-9.7763717174530002E-2</v>
      </c>
      <c r="H50" s="1" t="s">
        <v>9</v>
      </c>
      <c r="I50" s="1" t="s">
        <v>9</v>
      </c>
      <c r="J50" s="1">
        <v>133</v>
      </c>
      <c r="K50" s="1" t="s">
        <v>93</v>
      </c>
      <c r="L50" s="1" t="s">
        <v>242</v>
      </c>
      <c r="M50" s="3">
        <v>-3.4344330430030802E-2</v>
      </c>
      <c r="N50" s="3">
        <f t="shared" si="0"/>
        <v>-6.6054023802280398E-2</v>
      </c>
    </row>
    <row r="51" spans="1:14" x14ac:dyDescent="0.2">
      <c r="A51" s="1" t="s">
        <v>144</v>
      </c>
      <c r="B51" s="1" t="s">
        <v>7</v>
      </c>
      <c r="C51" s="1" t="s">
        <v>9</v>
      </c>
      <c r="D51" s="1">
        <v>133</v>
      </c>
      <c r="E51" s="1" t="s">
        <v>131</v>
      </c>
      <c r="F51" s="1" t="s">
        <v>243</v>
      </c>
      <c r="G51" s="3">
        <v>0.350613914430141</v>
      </c>
      <c r="H51" s="1" t="s">
        <v>9</v>
      </c>
      <c r="I51" s="1" t="s">
        <v>9</v>
      </c>
      <c r="J51" s="1">
        <v>133</v>
      </c>
      <c r="K51" s="1" t="s">
        <v>131</v>
      </c>
      <c r="L51" s="1" t="s">
        <v>244</v>
      </c>
      <c r="M51" s="3">
        <v>0.29459153115749298</v>
      </c>
      <c r="N51" s="3">
        <f t="shared" si="0"/>
        <v>0.32260272279381702</v>
      </c>
    </row>
    <row r="52" spans="1:14" x14ac:dyDescent="0.2">
      <c r="A52" s="1" t="s">
        <v>144</v>
      </c>
      <c r="B52" s="1" t="s">
        <v>7</v>
      </c>
      <c r="C52" s="1" t="s">
        <v>9</v>
      </c>
      <c r="D52" s="1">
        <v>133</v>
      </c>
      <c r="E52" s="1" t="s">
        <v>132</v>
      </c>
      <c r="F52" s="1" t="s">
        <v>245</v>
      </c>
      <c r="G52" s="3">
        <v>0.62984924018383004</v>
      </c>
      <c r="H52" s="1" t="s">
        <v>9</v>
      </c>
      <c r="I52" s="1" t="s">
        <v>9</v>
      </c>
      <c r="J52" s="1">
        <v>133</v>
      </c>
      <c r="K52" s="1" t="s">
        <v>132</v>
      </c>
      <c r="L52" s="1" t="s">
        <v>246</v>
      </c>
      <c r="M52" s="3">
        <v>0.78879201908906305</v>
      </c>
      <c r="N52" s="3">
        <f t="shared" si="0"/>
        <v>0.70932062963644604</v>
      </c>
    </row>
    <row r="53" spans="1:14" x14ac:dyDescent="0.2">
      <c r="A53" s="1" t="s">
        <v>144</v>
      </c>
      <c r="B53" s="1" t="s">
        <v>7</v>
      </c>
      <c r="C53" s="1" t="s">
        <v>129</v>
      </c>
      <c r="D53" s="1">
        <v>134</v>
      </c>
      <c r="E53" s="1" t="s">
        <v>139</v>
      </c>
      <c r="F53" s="1" t="s">
        <v>247</v>
      </c>
      <c r="G53" s="3">
        <v>0.14863107601801501</v>
      </c>
      <c r="H53" s="1" t="s">
        <v>9</v>
      </c>
      <c r="I53" s="1" t="s">
        <v>129</v>
      </c>
      <c r="J53" s="1">
        <v>134</v>
      </c>
      <c r="K53" s="1" t="s">
        <v>139</v>
      </c>
      <c r="L53" s="1" t="s">
        <v>248</v>
      </c>
      <c r="M53" s="3">
        <v>0.441667924324671</v>
      </c>
      <c r="N53" s="3">
        <f t="shared" si="0"/>
        <v>0.295149500171343</v>
      </c>
    </row>
    <row r="54" spans="1:14" x14ac:dyDescent="0.2">
      <c r="A54" s="1" t="s">
        <v>144</v>
      </c>
      <c r="B54" s="1" t="s">
        <v>7</v>
      </c>
      <c r="C54" s="1" t="s">
        <v>129</v>
      </c>
      <c r="D54" s="1">
        <v>134</v>
      </c>
      <c r="E54" s="1" t="s">
        <v>131</v>
      </c>
      <c r="F54" s="1" t="s">
        <v>249</v>
      </c>
      <c r="G54" s="3">
        <v>8.69089116652806E-2</v>
      </c>
      <c r="H54" s="1" t="s">
        <v>9</v>
      </c>
      <c r="I54" s="1" t="s">
        <v>129</v>
      </c>
      <c r="J54" s="1">
        <v>134</v>
      </c>
      <c r="K54" s="1" t="s">
        <v>131</v>
      </c>
      <c r="L54" s="1" t="s">
        <v>250</v>
      </c>
      <c r="M54" s="3">
        <v>0.42492075264453799</v>
      </c>
      <c r="N54" s="3">
        <f t="shared" si="0"/>
        <v>0.25591483215490901</v>
      </c>
    </row>
    <row r="55" spans="1:14" x14ac:dyDescent="0.2">
      <c r="A55" s="1" t="s">
        <v>144</v>
      </c>
      <c r="B55" s="1" t="s">
        <v>7</v>
      </c>
      <c r="C55" s="1" t="s">
        <v>129</v>
      </c>
      <c r="D55" s="1">
        <v>134</v>
      </c>
      <c r="E55" s="1" t="s">
        <v>130</v>
      </c>
      <c r="F55" s="1" t="s">
        <v>251</v>
      </c>
      <c r="G55" s="3">
        <v>0.48580320676167799</v>
      </c>
      <c r="H55" s="1" t="s">
        <v>9</v>
      </c>
      <c r="I55" s="1" t="s">
        <v>129</v>
      </c>
      <c r="J55" s="1">
        <v>134</v>
      </c>
      <c r="K55" s="1" t="s">
        <v>130</v>
      </c>
      <c r="L55" s="1" t="s">
        <v>252</v>
      </c>
      <c r="M55" s="3">
        <v>0.556399812301</v>
      </c>
      <c r="N55" s="3">
        <f t="shared" si="0"/>
        <v>0.52110150953133905</v>
      </c>
    </row>
    <row r="56" spans="1:14" x14ac:dyDescent="0.2">
      <c r="A56" s="1" t="s">
        <v>144</v>
      </c>
      <c r="B56" s="1" t="s">
        <v>7</v>
      </c>
      <c r="C56" s="1" t="s">
        <v>129</v>
      </c>
      <c r="D56" s="1">
        <v>134</v>
      </c>
      <c r="E56" s="1" t="s">
        <v>140</v>
      </c>
      <c r="F56" s="1" t="s">
        <v>253</v>
      </c>
      <c r="G56" s="3">
        <v>0.115746349096298</v>
      </c>
      <c r="H56" s="1" t="s">
        <v>9</v>
      </c>
      <c r="I56" s="1" t="s">
        <v>129</v>
      </c>
      <c r="J56" s="1">
        <v>134</v>
      </c>
      <c r="K56" s="1" t="s">
        <v>140</v>
      </c>
      <c r="L56" s="1" t="s">
        <v>254</v>
      </c>
      <c r="M56" s="3">
        <v>0.36729698379834402</v>
      </c>
      <c r="N56" s="3">
        <f t="shared" si="0"/>
        <v>0.24152166644732101</v>
      </c>
    </row>
    <row r="57" spans="1:14" x14ac:dyDescent="0.2">
      <c r="A57" s="1" t="s">
        <v>144</v>
      </c>
      <c r="B57" s="1" t="s">
        <v>64</v>
      </c>
      <c r="C57" s="1" t="s">
        <v>93</v>
      </c>
      <c r="D57" s="1">
        <v>68</v>
      </c>
      <c r="E57" s="1" t="s">
        <v>66</v>
      </c>
      <c r="F57" s="1" t="s">
        <v>255</v>
      </c>
      <c r="G57" s="3">
        <v>-0.18360537290573101</v>
      </c>
      <c r="H57" s="1" t="s">
        <v>66</v>
      </c>
      <c r="I57" s="1" t="s">
        <v>93</v>
      </c>
      <c r="J57" s="1">
        <v>68</v>
      </c>
      <c r="K57" s="1" t="s">
        <v>66</v>
      </c>
      <c r="L57" s="1" t="s">
        <v>256</v>
      </c>
      <c r="M57" s="3">
        <v>9.0613623460133796E-2</v>
      </c>
      <c r="N57" s="3">
        <f t="shared" si="0"/>
        <v>-4.6495874722798598E-2</v>
      </c>
    </row>
    <row r="58" spans="1:14" x14ac:dyDescent="0.2">
      <c r="A58" s="1" t="s">
        <v>144</v>
      </c>
      <c r="B58" s="1" t="s">
        <v>64</v>
      </c>
      <c r="C58" s="1" t="s">
        <v>93</v>
      </c>
      <c r="D58" s="1">
        <v>68</v>
      </c>
      <c r="E58" s="1" t="s">
        <v>73</v>
      </c>
      <c r="F58" s="1" t="s">
        <v>257</v>
      </c>
      <c r="G58" s="3">
        <v>2.1006319920221901</v>
      </c>
      <c r="H58" s="1" t="s">
        <v>66</v>
      </c>
      <c r="I58" s="1" t="s">
        <v>93</v>
      </c>
      <c r="J58" s="1">
        <v>68</v>
      </c>
      <c r="K58" s="1" t="s">
        <v>73</v>
      </c>
      <c r="L58" s="1" t="s">
        <v>258</v>
      </c>
      <c r="M58" s="3">
        <v>2.3757923046747802</v>
      </c>
      <c r="N58" s="3">
        <f t="shared" si="0"/>
        <v>2.2382121483484898</v>
      </c>
    </row>
    <row r="59" spans="1:14" x14ac:dyDescent="0.2">
      <c r="A59" s="1" t="s">
        <v>144</v>
      </c>
      <c r="B59" s="1" t="s">
        <v>64</v>
      </c>
      <c r="C59" s="1" t="s">
        <v>93</v>
      </c>
      <c r="D59" s="1">
        <v>68</v>
      </c>
      <c r="E59" s="1" t="s">
        <v>95</v>
      </c>
      <c r="F59" s="1" t="s">
        <v>259</v>
      </c>
      <c r="G59" s="3">
        <v>0.60652853548526697</v>
      </c>
      <c r="H59" s="1" t="s">
        <v>66</v>
      </c>
      <c r="I59" s="1" t="s">
        <v>93</v>
      </c>
      <c r="J59" s="1">
        <v>68</v>
      </c>
      <c r="K59" s="1" t="s">
        <v>95</v>
      </c>
      <c r="L59" s="1" t="s">
        <v>260</v>
      </c>
      <c r="M59" s="3">
        <v>0.80701282123724605</v>
      </c>
      <c r="N59" s="3">
        <f t="shared" si="0"/>
        <v>0.70677067836125695</v>
      </c>
    </row>
    <row r="60" spans="1:14" x14ac:dyDescent="0.2">
      <c r="A60" s="1" t="s">
        <v>144</v>
      </c>
      <c r="B60" s="1" t="s">
        <v>64</v>
      </c>
      <c r="C60" s="1" t="s">
        <v>93</v>
      </c>
      <c r="D60" s="1">
        <v>68</v>
      </c>
      <c r="E60" s="1" t="s">
        <v>136</v>
      </c>
      <c r="F60" s="1" t="s">
        <v>261</v>
      </c>
      <c r="G60" s="3">
        <v>1.2858328024546299</v>
      </c>
      <c r="H60" s="1" t="s">
        <v>66</v>
      </c>
      <c r="I60" s="1" t="s">
        <v>93</v>
      </c>
      <c r="J60" s="1">
        <v>68</v>
      </c>
      <c r="K60" s="1" t="s">
        <v>136</v>
      </c>
      <c r="L60" s="1" t="s">
        <v>262</v>
      </c>
      <c r="M60" s="3">
        <v>1.4230468670527101</v>
      </c>
      <c r="N60" s="3">
        <f t="shared" si="0"/>
        <v>1.3544398347536699</v>
      </c>
    </row>
    <row r="61" spans="1:14" x14ac:dyDescent="0.2">
      <c r="A61" s="1" t="s">
        <v>144</v>
      </c>
      <c r="B61" s="1" t="s">
        <v>64</v>
      </c>
      <c r="C61" s="1" t="s">
        <v>93</v>
      </c>
      <c r="D61" s="1">
        <v>68</v>
      </c>
      <c r="E61" s="1" t="s">
        <v>138</v>
      </c>
      <c r="F61" s="1" t="s">
        <v>263</v>
      </c>
      <c r="G61" s="3">
        <v>-7.7889939149220697E-2</v>
      </c>
      <c r="H61" s="1" t="s">
        <v>66</v>
      </c>
      <c r="I61" s="1" t="s">
        <v>93</v>
      </c>
      <c r="J61" s="1">
        <v>68</v>
      </c>
      <c r="K61" s="1" t="s">
        <v>138</v>
      </c>
      <c r="L61" s="1" t="s">
        <v>264</v>
      </c>
      <c r="M61" s="3">
        <v>0.20647329092025701</v>
      </c>
      <c r="N61" s="3">
        <f t="shared" si="0"/>
        <v>6.4291675885518207E-2</v>
      </c>
    </row>
    <row r="62" spans="1:14" x14ac:dyDescent="0.2">
      <c r="A62" s="1" t="s">
        <v>144</v>
      </c>
      <c r="B62" s="1" t="s">
        <v>71</v>
      </c>
      <c r="C62" s="1" t="s">
        <v>130</v>
      </c>
      <c r="D62" s="1">
        <v>19</v>
      </c>
      <c r="E62" s="1" t="s">
        <v>71</v>
      </c>
      <c r="F62" s="1" t="s">
        <v>265</v>
      </c>
      <c r="G62" s="3">
        <v>-3.05738194535175E-2</v>
      </c>
      <c r="H62" s="1" t="s">
        <v>73</v>
      </c>
      <c r="I62" s="1" t="s">
        <v>130</v>
      </c>
      <c r="J62" s="1">
        <v>19</v>
      </c>
      <c r="K62" s="1" t="s">
        <v>71</v>
      </c>
      <c r="L62" s="1" t="s">
        <v>266</v>
      </c>
      <c r="M62" s="3">
        <v>8.4271853168805394E-3</v>
      </c>
      <c r="N62" s="3">
        <f t="shared" si="0"/>
        <v>-1.1073317068318499E-2</v>
      </c>
    </row>
    <row r="63" spans="1:14" x14ac:dyDescent="0.2">
      <c r="A63" s="1" t="s">
        <v>144</v>
      </c>
      <c r="B63" s="1" t="s">
        <v>71</v>
      </c>
      <c r="C63" s="1" t="s">
        <v>130</v>
      </c>
      <c r="D63" s="1">
        <v>19</v>
      </c>
      <c r="E63" s="1" t="s">
        <v>66</v>
      </c>
      <c r="F63" s="1" t="s">
        <v>267</v>
      </c>
      <c r="G63" s="3">
        <v>8.4197446703910793E-3</v>
      </c>
      <c r="H63" s="1" t="s">
        <v>73</v>
      </c>
      <c r="I63" s="1" t="s">
        <v>130</v>
      </c>
      <c r="J63" s="1">
        <v>19</v>
      </c>
      <c r="K63" s="1" t="s">
        <v>66</v>
      </c>
      <c r="L63" s="1" t="s">
        <v>268</v>
      </c>
      <c r="M63" s="3">
        <v>-0.11682278104126401</v>
      </c>
      <c r="N63" s="3">
        <f t="shared" si="0"/>
        <v>-5.4201518185436497E-2</v>
      </c>
    </row>
    <row r="64" spans="1:14" x14ac:dyDescent="0.2">
      <c r="A64" s="1" t="s">
        <v>144</v>
      </c>
      <c r="B64" s="1" t="s">
        <v>71</v>
      </c>
      <c r="C64" s="1" t="s">
        <v>130</v>
      </c>
      <c r="D64" s="1">
        <v>19</v>
      </c>
      <c r="E64" s="1" t="s">
        <v>133</v>
      </c>
      <c r="F64" s="1" t="s">
        <v>269</v>
      </c>
      <c r="G64" s="3">
        <v>1.2222595512866899E-2</v>
      </c>
      <c r="H64" s="1" t="s">
        <v>73</v>
      </c>
      <c r="I64" s="1" t="s">
        <v>130</v>
      </c>
      <c r="J64" s="1">
        <v>19</v>
      </c>
      <c r="K64" s="1" t="s">
        <v>133</v>
      </c>
      <c r="L64" s="1" t="s">
        <v>270</v>
      </c>
      <c r="M64" s="3">
        <v>-6.3166833793123503E-2</v>
      </c>
      <c r="N64" s="3">
        <f t="shared" si="0"/>
        <v>-2.5472119140128299E-2</v>
      </c>
    </row>
    <row r="65" spans="1:14" x14ac:dyDescent="0.2">
      <c r="A65" s="1" t="s">
        <v>144</v>
      </c>
      <c r="B65" s="1" t="s">
        <v>71</v>
      </c>
      <c r="C65" s="1" t="s">
        <v>130</v>
      </c>
      <c r="D65" s="1">
        <v>19</v>
      </c>
      <c r="E65" s="1" t="s">
        <v>134</v>
      </c>
      <c r="F65" s="1" t="s">
        <v>271</v>
      </c>
      <c r="G65" s="3">
        <v>-0.14231369892756099</v>
      </c>
      <c r="H65" s="1" t="s">
        <v>73</v>
      </c>
      <c r="I65" s="1" t="s">
        <v>130</v>
      </c>
      <c r="J65" s="1">
        <v>19</v>
      </c>
      <c r="K65" s="1" t="s">
        <v>134</v>
      </c>
      <c r="L65" s="1" t="s">
        <v>272</v>
      </c>
      <c r="M65" s="3">
        <v>-0.18104395270347501</v>
      </c>
      <c r="N65" s="3">
        <f t="shared" si="0"/>
        <v>-0.16167882581551801</v>
      </c>
    </row>
    <row r="66" spans="1:14" x14ac:dyDescent="0.2">
      <c r="A66" s="1" t="s">
        <v>144</v>
      </c>
      <c r="B66" s="1" t="s">
        <v>71</v>
      </c>
      <c r="C66" s="1" t="s">
        <v>130</v>
      </c>
      <c r="D66" s="1">
        <v>19</v>
      </c>
      <c r="E66" s="1" t="s">
        <v>138</v>
      </c>
      <c r="F66" s="1" t="s">
        <v>273</v>
      </c>
      <c r="G66" s="3">
        <v>2.3855442802111302E-3</v>
      </c>
      <c r="H66" s="1" t="s">
        <v>73</v>
      </c>
      <c r="I66" s="1" t="s">
        <v>130</v>
      </c>
      <c r="J66" s="1">
        <v>19</v>
      </c>
      <c r="K66" s="1" t="s">
        <v>138</v>
      </c>
      <c r="L66" s="1" t="s">
        <v>274</v>
      </c>
      <c r="M66" s="3">
        <v>-2.4074553822477598E-2</v>
      </c>
      <c r="N66" s="3">
        <f t="shared" ref="N66:N115" si="1">AVERAGE(G66,M66)</f>
        <v>-1.08445047711332E-2</v>
      </c>
    </row>
    <row r="67" spans="1:14" x14ac:dyDescent="0.2">
      <c r="A67" s="1" t="s">
        <v>144</v>
      </c>
      <c r="B67" s="1" t="s">
        <v>71</v>
      </c>
      <c r="C67" s="1" t="s">
        <v>129</v>
      </c>
      <c r="D67" s="1">
        <v>29</v>
      </c>
      <c r="E67" s="1" t="s">
        <v>134</v>
      </c>
      <c r="F67" s="1" t="s">
        <v>275</v>
      </c>
      <c r="G67" s="3">
        <v>1.4457204341888401</v>
      </c>
      <c r="H67" s="1" t="s">
        <v>73</v>
      </c>
      <c r="I67" s="1" t="s">
        <v>129</v>
      </c>
      <c r="J67" s="1">
        <v>29</v>
      </c>
      <c r="K67" s="1" t="s">
        <v>134</v>
      </c>
      <c r="L67" s="1" t="s">
        <v>276</v>
      </c>
      <c r="M67" s="3">
        <v>1.5858037074406901</v>
      </c>
      <c r="N67" s="3">
        <f t="shared" si="1"/>
        <v>1.5157620708147701</v>
      </c>
    </row>
    <row r="68" spans="1:14" x14ac:dyDescent="0.2">
      <c r="A68" s="1" t="s">
        <v>144</v>
      </c>
      <c r="B68" s="1" t="s">
        <v>71</v>
      </c>
      <c r="C68" s="1" t="s">
        <v>129</v>
      </c>
      <c r="D68" s="1">
        <v>29</v>
      </c>
      <c r="E68" s="1" t="s">
        <v>132</v>
      </c>
      <c r="F68" s="1" t="s">
        <v>277</v>
      </c>
      <c r="G68" s="3">
        <v>1.15939919153849</v>
      </c>
      <c r="H68" s="1" t="s">
        <v>73</v>
      </c>
      <c r="I68" s="1" t="s">
        <v>129</v>
      </c>
      <c r="J68" s="1">
        <v>29</v>
      </c>
      <c r="K68" s="1" t="s">
        <v>132</v>
      </c>
      <c r="L68" s="1" t="s">
        <v>278</v>
      </c>
      <c r="M68" s="3">
        <v>1.3183885812759399</v>
      </c>
      <c r="N68" s="3">
        <f t="shared" si="1"/>
        <v>1.2388938864072101</v>
      </c>
    </row>
    <row r="69" spans="1:14" x14ac:dyDescent="0.2">
      <c r="A69" s="1" t="s">
        <v>144</v>
      </c>
      <c r="B69" s="1" t="s">
        <v>71</v>
      </c>
      <c r="C69" s="1" t="s">
        <v>129</v>
      </c>
      <c r="D69" s="1">
        <v>29</v>
      </c>
      <c r="E69" s="1" t="s">
        <v>133</v>
      </c>
      <c r="F69" s="1" t="s">
        <v>279</v>
      </c>
      <c r="G69" s="3">
        <v>0.79814300000000005</v>
      </c>
      <c r="H69" s="1" t="s">
        <v>73</v>
      </c>
      <c r="I69" s="1" t="s">
        <v>129</v>
      </c>
      <c r="J69" s="1">
        <v>29</v>
      </c>
      <c r="K69" s="1" t="s">
        <v>133</v>
      </c>
      <c r="L69" s="1" t="s">
        <v>280</v>
      </c>
      <c r="M69" s="3">
        <v>0.97557199999999999</v>
      </c>
      <c r="N69" s="3">
        <f>AVERAGE(G69,M69)</f>
        <v>0.88685749999999997</v>
      </c>
    </row>
    <row r="70" spans="1:14" x14ac:dyDescent="0.2">
      <c r="A70" s="1" t="s">
        <v>144</v>
      </c>
      <c r="B70" s="1" t="s">
        <v>71</v>
      </c>
      <c r="C70" s="1" t="s">
        <v>73</v>
      </c>
      <c r="D70" s="1">
        <v>37</v>
      </c>
      <c r="E70" s="1" t="s">
        <v>71</v>
      </c>
      <c r="F70" s="1" t="s">
        <v>281</v>
      </c>
      <c r="G70" s="3">
        <v>-0.13116918007532699</v>
      </c>
      <c r="H70" s="1" t="s">
        <v>73</v>
      </c>
      <c r="I70" s="1" t="s">
        <v>73</v>
      </c>
      <c r="J70" s="1">
        <v>37</v>
      </c>
      <c r="K70" s="1" t="s">
        <v>71</v>
      </c>
      <c r="L70" s="1" t="s">
        <v>282</v>
      </c>
      <c r="M70" s="3">
        <v>-0.164449234803517</v>
      </c>
      <c r="N70" s="3">
        <f t="shared" si="1"/>
        <v>-0.147809207439422</v>
      </c>
    </row>
    <row r="71" spans="1:14" x14ac:dyDescent="0.2">
      <c r="A71" s="1" t="s">
        <v>144</v>
      </c>
      <c r="B71" s="1" t="s">
        <v>71</v>
      </c>
      <c r="C71" s="1" t="s">
        <v>73</v>
      </c>
      <c r="D71" s="1">
        <v>37</v>
      </c>
      <c r="E71" s="1" t="s">
        <v>93</v>
      </c>
      <c r="F71" s="1" t="s">
        <v>283</v>
      </c>
      <c r="G71" s="3">
        <v>0.91415009399255098</v>
      </c>
      <c r="H71" s="1" t="s">
        <v>73</v>
      </c>
      <c r="I71" s="1" t="s">
        <v>73</v>
      </c>
      <c r="J71" s="1">
        <v>37</v>
      </c>
      <c r="K71" s="1" t="s">
        <v>93</v>
      </c>
      <c r="L71" s="1" t="s">
        <v>284</v>
      </c>
      <c r="M71" s="3">
        <v>0.61808812618255604</v>
      </c>
      <c r="N71" s="3">
        <f t="shared" si="1"/>
        <v>0.76611911008755396</v>
      </c>
    </row>
    <row r="72" spans="1:14" x14ac:dyDescent="0.2">
      <c r="A72" s="1" t="s">
        <v>144</v>
      </c>
      <c r="B72" s="1" t="s">
        <v>71</v>
      </c>
      <c r="C72" s="1" t="s">
        <v>73</v>
      </c>
      <c r="D72" s="1">
        <v>37</v>
      </c>
      <c r="E72" s="1" t="s">
        <v>130</v>
      </c>
      <c r="F72" s="1" t="s">
        <v>285</v>
      </c>
      <c r="G72" s="3">
        <v>2.9509594043095898E-2</v>
      </c>
      <c r="H72" s="1" t="s">
        <v>73</v>
      </c>
      <c r="I72" s="1" t="s">
        <v>73</v>
      </c>
      <c r="J72" s="1">
        <v>37</v>
      </c>
      <c r="K72" s="1" t="s">
        <v>130</v>
      </c>
      <c r="L72" s="1" t="s">
        <v>286</v>
      </c>
      <c r="M72" s="3">
        <v>2.7009844779968199E-2</v>
      </c>
      <c r="N72" s="3">
        <f t="shared" si="1"/>
        <v>2.8259719411531999E-2</v>
      </c>
    </row>
    <row r="73" spans="1:14" x14ac:dyDescent="0.2">
      <c r="A73" s="1" t="s">
        <v>144</v>
      </c>
      <c r="B73" s="1" t="s">
        <v>71</v>
      </c>
      <c r="C73" s="1" t="s">
        <v>73</v>
      </c>
      <c r="D73" s="1">
        <v>37</v>
      </c>
      <c r="E73" s="1" t="s">
        <v>137</v>
      </c>
      <c r="F73" s="1" t="s">
        <v>287</v>
      </c>
      <c r="G73" s="3">
        <v>0.84580902258555002</v>
      </c>
      <c r="H73" s="1" t="s">
        <v>73</v>
      </c>
      <c r="I73" s="1" t="s">
        <v>73</v>
      </c>
      <c r="J73" s="1">
        <v>37</v>
      </c>
      <c r="K73" s="1" t="s">
        <v>137</v>
      </c>
      <c r="L73" s="1" t="s">
        <v>288</v>
      </c>
      <c r="M73" s="3">
        <v>0.67978190879027001</v>
      </c>
      <c r="N73" s="3">
        <f t="shared" si="1"/>
        <v>0.76279546568791001</v>
      </c>
    </row>
    <row r="74" spans="1:14" x14ac:dyDescent="0.2">
      <c r="A74" s="1" t="s">
        <v>144</v>
      </c>
      <c r="B74" s="1" t="s">
        <v>71</v>
      </c>
      <c r="C74" s="1" t="s">
        <v>9</v>
      </c>
      <c r="D74" s="1">
        <v>56</v>
      </c>
      <c r="E74" s="1" t="s">
        <v>7</v>
      </c>
      <c r="F74" s="1" t="s">
        <v>289</v>
      </c>
      <c r="G74" s="3">
        <v>0.94965960582097297</v>
      </c>
      <c r="H74" s="1" t="s">
        <v>73</v>
      </c>
      <c r="I74" s="1" t="s">
        <v>9</v>
      </c>
      <c r="J74" s="1">
        <v>56</v>
      </c>
      <c r="K74" s="1" t="s">
        <v>7</v>
      </c>
      <c r="L74" s="1" t="s">
        <v>290</v>
      </c>
      <c r="M74" s="3">
        <v>1.2134754459063199</v>
      </c>
      <c r="N74" s="3">
        <f t="shared" si="1"/>
        <v>1.0815675258636499</v>
      </c>
    </row>
    <row r="75" spans="1:14" x14ac:dyDescent="0.2">
      <c r="A75" s="1" t="s">
        <v>144</v>
      </c>
      <c r="B75" s="1" t="s">
        <v>71</v>
      </c>
      <c r="C75" s="1" t="s">
        <v>9</v>
      </c>
      <c r="D75" s="1">
        <v>56</v>
      </c>
      <c r="E75" s="1" t="s">
        <v>93</v>
      </c>
      <c r="F75" s="1" t="s">
        <v>291</v>
      </c>
      <c r="G75" s="3">
        <v>0.26417735219001698</v>
      </c>
      <c r="H75" s="1" t="s">
        <v>73</v>
      </c>
      <c r="I75" s="1" t="s">
        <v>9</v>
      </c>
      <c r="J75" s="1">
        <v>56</v>
      </c>
      <c r="K75" s="1" t="s">
        <v>93</v>
      </c>
      <c r="L75" s="1" t="s">
        <v>292</v>
      </c>
      <c r="M75" s="3">
        <v>0.54334705571333497</v>
      </c>
      <c r="N75" s="3">
        <f t="shared" si="1"/>
        <v>0.403762203951676</v>
      </c>
    </row>
    <row r="76" spans="1:14" x14ac:dyDescent="0.2">
      <c r="A76" s="1" t="s">
        <v>144</v>
      </c>
      <c r="B76" s="1" t="s">
        <v>71</v>
      </c>
      <c r="C76" s="1" t="s">
        <v>9</v>
      </c>
      <c r="D76" s="1">
        <v>56</v>
      </c>
      <c r="E76" s="1" t="s">
        <v>73</v>
      </c>
      <c r="F76" s="1" t="s">
        <v>293</v>
      </c>
      <c r="G76" s="3">
        <v>0.88768583536148005</v>
      </c>
      <c r="H76" s="1" t="s">
        <v>73</v>
      </c>
      <c r="I76" s="1" t="s">
        <v>9</v>
      </c>
      <c r="J76" s="1">
        <v>56</v>
      </c>
      <c r="K76" s="1" t="s">
        <v>73</v>
      </c>
      <c r="L76" s="1" t="s">
        <v>294</v>
      </c>
      <c r="M76" s="3">
        <v>1.2068448911110501</v>
      </c>
      <c r="N76" s="3">
        <f t="shared" si="1"/>
        <v>1.0472653632362601</v>
      </c>
    </row>
    <row r="77" spans="1:14" x14ac:dyDescent="0.2">
      <c r="A77" s="1" t="s">
        <v>144</v>
      </c>
      <c r="B77" s="1" t="s">
        <v>71</v>
      </c>
      <c r="C77" s="1" t="s">
        <v>9</v>
      </c>
      <c r="D77" s="1">
        <v>56</v>
      </c>
      <c r="E77" s="1" t="s">
        <v>131</v>
      </c>
      <c r="F77" s="1" t="s">
        <v>295</v>
      </c>
      <c r="G77" s="3">
        <v>1.15029943486054</v>
      </c>
      <c r="H77" s="1" t="s">
        <v>73</v>
      </c>
      <c r="I77" s="1" t="s">
        <v>9</v>
      </c>
      <c r="J77" s="1">
        <v>56</v>
      </c>
      <c r="K77" s="1" t="s">
        <v>131</v>
      </c>
      <c r="L77" s="1" t="s">
        <v>296</v>
      </c>
      <c r="M77" s="3">
        <v>1.1161716332038201</v>
      </c>
      <c r="N77" s="3">
        <f t="shared" si="1"/>
        <v>1.13323553403218</v>
      </c>
    </row>
    <row r="78" spans="1:14" x14ac:dyDescent="0.2">
      <c r="A78" s="1" t="s">
        <v>144</v>
      </c>
      <c r="B78" s="1" t="s">
        <v>71</v>
      </c>
      <c r="C78" s="1" t="s">
        <v>9</v>
      </c>
      <c r="D78" s="1">
        <v>56</v>
      </c>
      <c r="E78" s="1" t="s">
        <v>132</v>
      </c>
      <c r="F78" s="1" t="s">
        <v>297</v>
      </c>
      <c r="G78" s="3">
        <v>1.0318710009256999</v>
      </c>
      <c r="H78" s="1" t="s">
        <v>73</v>
      </c>
      <c r="I78" s="1" t="s">
        <v>9</v>
      </c>
      <c r="J78" s="1">
        <v>56</v>
      </c>
      <c r="K78" s="1" t="s">
        <v>132</v>
      </c>
      <c r="L78" s="1" t="s">
        <v>298</v>
      </c>
      <c r="M78" s="3">
        <v>1.02791733543078</v>
      </c>
      <c r="N78" s="3">
        <f t="shared" si="1"/>
        <v>1.0298941681782401</v>
      </c>
    </row>
    <row r="79" spans="1:14" x14ac:dyDescent="0.2">
      <c r="A79" s="1" t="s">
        <v>144</v>
      </c>
      <c r="B79" s="1" t="s">
        <v>71</v>
      </c>
      <c r="C79" s="1" t="s">
        <v>131</v>
      </c>
      <c r="D79" s="1">
        <v>74</v>
      </c>
      <c r="E79" s="1" t="s">
        <v>9</v>
      </c>
      <c r="F79" s="1" t="s">
        <v>299</v>
      </c>
      <c r="G79" s="3">
        <v>0.12800572564204499</v>
      </c>
      <c r="H79" s="1" t="s">
        <v>73</v>
      </c>
      <c r="I79" s="1" t="s">
        <v>131</v>
      </c>
      <c r="J79" s="1">
        <v>74</v>
      </c>
      <c r="K79" s="1" t="s">
        <v>9</v>
      </c>
      <c r="L79" s="1" t="s">
        <v>300</v>
      </c>
      <c r="M79" s="3">
        <v>0.13361767431100199</v>
      </c>
      <c r="N79" s="3">
        <f t="shared" si="1"/>
        <v>0.130811699976523</v>
      </c>
    </row>
    <row r="80" spans="1:14" x14ac:dyDescent="0.2">
      <c r="A80" s="1" t="s">
        <v>144</v>
      </c>
      <c r="B80" s="1" t="s">
        <v>71</v>
      </c>
      <c r="C80" s="1" t="s">
        <v>131</v>
      </c>
      <c r="D80" s="1">
        <v>74</v>
      </c>
      <c r="E80" s="1" t="s">
        <v>136</v>
      </c>
      <c r="F80" s="1" t="s">
        <v>301</v>
      </c>
      <c r="G80" s="3">
        <v>0.10256174206733699</v>
      </c>
      <c r="H80" s="1" t="s">
        <v>73</v>
      </c>
      <c r="I80" s="1" t="s">
        <v>131</v>
      </c>
      <c r="J80" s="1">
        <v>74</v>
      </c>
      <c r="K80" s="1" t="s">
        <v>136</v>
      </c>
      <c r="L80" s="1" t="s">
        <v>302</v>
      </c>
      <c r="M80" s="3">
        <v>7.57139374812444E-2</v>
      </c>
      <c r="N80" s="3">
        <f t="shared" si="1"/>
        <v>8.9137839774290697E-2</v>
      </c>
    </row>
    <row r="81" spans="1:14" x14ac:dyDescent="0.2">
      <c r="A81" s="1" t="s">
        <v>144</v>
      </c>
      <c r="B81" s="1" t="s">
        <v>71</v>
      </c>
      <c r="C81" s="1" t="s">
        <v>131</v>
      </c>
      <c r="D81" s="1">
        <v>74</v>
      </c>
      <c r="E81" s="1" t="s">
        <v>129</v>
      </c>
      <c r="F81" s="1" t="s">
        <v>303</v>
      </c>
      <c r="G81" s="3">
        <v>6.7928000000000002E-2</v>
      </c>
      <c r="H81" s="1" t="s">
        <v>73</v>
      </c>
      <c r="I81" s="1" t="s">
        <v>131</v>
      </c>
      <c r="J81" s="1">
        <v>74</v>
      </c>
      <c r="K81" s="1" t="s">
        <v>129</v>
      </c>
      <c r="L81" s="1" t="s">
        <v>304</v>
      </c>
      <c r="M81" s="3">
        <v>6.9090000000000002E-3</v>
      </c>
      <c r="N81" s="3">
        <f>AVERAGE(G81,M81)</f>
        <v>3.74185E-2</v>
      </c>
    </row>
    <row r="82" spans="1:14" x14ac:dyDescent="0.2">
      <c r="A82" s="1" t="s">
        <v>144</v>
      </c>
      <c r="B82" s="1" t="s">
        <v>93</v>
      </c>
      <c r="C82" s="1" t="s">
        <v>9</v>
      </c>
      <c r="D82" s="1">
        <v>35</v>
      </c>
      <c r="E82" s="1" t="s">
        <v>7</v>
      </c>
      <c r="F82" s="1" t="s">
        <v>305</v>
      </c>
      <c r="G82" s="3">
        <v>0.487379496296246</v>
      </c>
      <c r="H82" s="1" t="s">
        <v>95</v>
      </c>
      <c r="I82" s="1" t="s">
        <v>9</v>
      </c>
      <c r="J82" s="1">
        <v>35</v>
      </c>
      <c r="K82" s="1" t="s">
        <v>7</v>
      </c>
      <c r="L82" s="1" t="s">
        <v>306</v>
      </c>
      <c r="M82" s="3">
        <v>0.20880242685476899</v>
      </c>
      <c r="N82" s="3">
        <f t="shared" si="1"/>
        <v>0.34809096157550801</v>
      </c>
    </row>
    <row r="83" spans="1:14" x14ac:dyDescent="0.2">
      <c r="A83" s="1" t="s">
        <v>144</v>
      </c>
      <c r="B83" s="1" t="s">
        <v>93</v>
      </c>
      <c r="C83" s="1" t="s">
        <v>9</v>
      </c>
      <c r="D83" s="1">
        <v>35</v>
      </c>
      <c r="E83" s="1" t="s">
        <v>93</v>
      </c>
      <c r="F83" s="1" t="s">
        <v>307</v>
      </c>
      <c r="G83" s="3">
        <v>0.19087272882461501</v>
      </c>
      <c r="H83" s="1" t="s">
        <v>95</v>
      </c>
      <c r="I83" s="1" t="s">
        <v>9</v>
      </c>
      <c r="J83" s="1">
        <v>35</v>
      </c>
      <c r="K83" s="1" t="s">
        <v>93</v>
      </c>
      <c r="L83" s="1" t="s">
        <v>308</v>
      </c>
      <c r="M83" s="3">
        <v>9.47930663824081E-2</v>
      </c>
      <c r="N83" s="3">
        <f t="shared" si="1"/>
        <v>0.142832897603512</v>
      </c>
    </row>
    <row r="84" spans="1:14" x14ac:dyDescent="0.2">
      <c r="A84" s="1" t="s">
        <v>144</v>
      </c>
      <c r="B84" s="1" t="s">
        <v>93</v>
      </c>
      <c r="C84" s="1" t="s">
        <v>9</v>
      </c>
      <c r="D84" s="1">
        <v>35</v>
      </c>
      <c r="E84" s="1" t="s">
        <v>131</v>
      </c>
      <c r="F84" s="1" t="s">
        <v>309</v>
      </c>
      <c r="G84" s="3">
        <v>0.40778407454490601</v>
      </c>
      <c r="H84" s="1" t="s">
        <v>95</v>
      </c>
      <c r="I84" s="1" t="s">
        <v>9</v>
      </c>
      <c r="J84" s="1">
        <v>35</v>
      </c>
      <c r="K84" s="1" t="s">
        <v>131</v>
      </c>
      <c r="L84" s="1" t="s">
        <v>310</v>
      </c>
      <c r="M84" s="3">
        <v>0.226121423145135</v>
      </c>
      <c r="N84" s="3">
        <f t="shared" si="1"/>
        <v>0.316952748845021</v>
      </c>
    </row>
    <row r="85" spans="1:14" x14ac:dyDescent="0.2">
      <c r="A85" s="1" t="s">
        <v>144</v>
      </c>
      <c r="B85" s="1" t="s">
        <v>93</v>
      </c>
      <c r="C85" s="1" t="s">
        <v>130</v>
      </c>
      <c r="D85" s="1">
        <v>36</v>
      </c>
      <c r="E85" s="1" t="s">
        <v>71</v>
      </c>
      <c r="F85" s="1" t="s">
        <v>311</v>
      </c>
      <c r="G85" s="3">
        <v>0.24411489566167099</v>
      </c>
      <c r="H85" s="1" t="s">
        <v>95</v>
      </c>
      <c r="I85" s="1" t="s">
        <v>130</v>
      </c>
      <c r="J85" s="1">
        <v>36</v>
      </c>
      <c r="K85" s="1" t="s">
        <v>71</v>
      </c>
      <c r="L85" s="1" t="s">
        <v>312</v>
      </c>
      <c r="M85" s="3">
        <v>7.0039431254069001E-2</v>
      </c>
      <c r="N85" s="3">
        <f t="shared" si="1"/>
        <v>0.15707716345787001</v>
      </c>
    </row>
    <row r="86" spans="1:14" x14ac:dyDescent="0.2">
      <c r="A86" s="1" t="s">
        <v>144</v>
      </c>
      <c r="B86" s="1" t="s">
        <v>93</v>
      </c>
      <c r="C86" s="1" t="s">
        <v>130</v>
      </c>
      <c r="D86" s="1">
        <v>36</v>
      </c>
      <c r="E86" s="1" t="s">
        <v>136</v>
      </c>
      <c r="F86" s="1" t="s">
        <v>313</v>
      </c>
      <c r="G86" s="3">
        <v>0.13748901585737799</v>
      </c>
      <c r="H86" s="1" t="s">
        <v>95</v>
      </c>
      <c r="I86" s="1" t="s">
        <v>130</v>
      </c>
      <c r="J86" s="1">
        <v>36</v>
      </c>
      <c r="K86" s="1" t="s">
        <v>136</v>
      </c>
      <c r="L86" s="1" t="s">
        <v>314</v>
      </c>
      <c r="M86" s="3">
        <v>0.40031719704468999</v>
      </c>
      <c r="N86" s="3">
        <f t="shared" si="1"/>
        <v>0.26890310645103399</v>
      </c>
    </row>
    <row r="87" spans="1:14" x14ac:dyDescent="0.2">
      <c r="A87" s="1" t="s">
        <v>144</v>
      </c>
      <c r="B87" s="1" t="s">
        <v>93</v>
      </c>
      <c r="C87" s="1" t="s">
        <v>130</v>
      </c>
      <c r="D87" s="1">
        <v>36</v>
      </c>
      <c r="E87" s="1" t="s">
        <v>129</v>
      </c>
      <c r="F87" s="1" t="s">
        <v>315</v>
      </c>
      <c r="G87" s="3">
        <v>0.51335612684488297</v>
      </c>
      <c r="H87" s="1" t="s">
        <v>95</v>
      </c>
      <c r="I87" s="1" t="s">
        <v>130</v>
      </c>
      <c r="J87" s="1">
        <v>36</v>
      </c>
      <c r="K87" s="1" t="s">
        <v>129</v>
      </c>
      <c r="L87" s="1" t="s">
        <v>316</v>
      </c>
      <c r="M87" s="3">
        <v>0.62823494275410896</v>
      </c>
      <c r="N87" s="3">
        <f t="shared" si="1"/>
        <v>0.57079553479949596</v>
      </c>
    </row>
    <row r="88" spans="1:14" x14ac:dyDescent="0.2">
      <c r="A88" s="1" t="s">
        <v>144</v>
      </c>
      <c r="B88" s="1" t="s">
        <v>93</v>
      </c>
      <c r="C88" s="1" t="s">
        <v>73</v>
      </c>
      <c r="D88" s="1">
        <v>53</v>
      </c>
      <c r="E88" s="1" t="s">
        <v>7</v>
      </c>
      <c r="F88" s="1" t="s">
        <v>317</v>
      </c>
      <c r="G88" s="3">
        <v>0.125649109482765</v>
      </c>
      <c r="H88" s="1" t="s">
        <v>95</v>
      </c>
      <c r="I88" s="1" t="s">
        <v>73</v>
      </c>
      <c r="J88" s="1">
        <v>53</v>
      </c>
      <c r="K88" s="1" t="s">
        <v>7</v>
      </c>
      <c r="L88" s="1" t="s">
        <v>318</v>
      </c>
      <c r="M88" s="3">
        <v>0.110675791899363</v>
      </c>
      <c r="N88" s="3">
        <f t="shared" si="1"/>
        <v>0.118162450691064</v>
      </c>
    </row>
    <row r="89" spans="1:14" x14ac:dyDescent="0.2">
      <c r="A89" s="1" t="s">
        <v>144</v>
      </c>
      <c r="B89" s="1" t="s">
        <v>93</v>
      </c>
      <c r="C89" s="1" t="s">
        <v>73</v>
      </c>
      <c r="D89" s="1">
        <v>53</v>
      </c>
      <c r="E89" s="1" t="s">
        <v>71</v>
      </c>
      <c r="F89" s="1" t="s">
        <v>319</v>
      </c>
      <c r="G89" s="3">
        <v>-0.207690936823685</v>
      </c>
      <c r="H89" s="1" t="s">
        <v>95</v>
      </c>
      <c r="I89" s="1" t="s">
        <v>73</v>
      </c>
      <c r="J89" s="1">
        <v>53</v>
      </c>
      <c r="K89" s="1" t="s">
        <v>71</v>
      </c>
      <c r="L89" s="1" t="s">
        <v>320</v>
      </c>
      <c r="M89" s="3">
        <v>-0.15724619229634601</v>
      </c>
      <c r="N89" s="3">
        <f t="shared" si="1"/>
        <v>-0.18246856456001601</v>
      </c>
    </row>
    <row r="90" spans="1:14" x14ac:dyDescent="0.2">
      <c r="A90" s="1" t="s">
        <v>144</v>
      </c>
      <c r="B90" s="1" t="s">
        <v>93</v>
      </c>
      <c r="C90" s="1" t="s">
        <v>73</v>
      </c>
      <c r="D90" s="1">
        <v>53</v>
      </c>
      <c r="E90" s="1" t="s">
        <v>93</v>
      </c>
      <c r="F90" s="1" t="s">
        <v>321</v>
      </c>
      <c r="G90" s="3">
        <v>-0.14696006911496301</v>
      </c>
      <c r="H90" s="1" t="s">
        <v>95</v>
      </c>
      <c r="I90" s="1" t="s">
        <v>73</v>
      </c>
      <c r="J90" s="1">
        <v>53</v>
      </c>
      <c r="K90" s="1" t="s">
        <v>93</v>
      </c>
      <c r="L90" s="1" t="s">
        <v>322</v>
      </c>
      <c r="M90" s="3">
        <v>-0.17443882860243301</v>
      </c>
      <c r="N90" s="3">
        <f t="shared" si="1"/>
        <v>-0.160699448858698</v>
      </c>
    </row>
    <row r="91" spans="1:14" x14ac:dyDescent="0.2">
      <c r="A91" s="1" t="s">
        <v>144</v>
      </c>
      <c r="B91" s="1" t="s">
        <v>93</v>
      </c>
      <c r="C91" s="1" t="s">
        <v>73</v>
      </c>
      <c r="D91" s="1">
        <v>53</v>
      </c>
      <c r="E91" s="1" t="s">
        <v>129</v>
      </c>
      <c r="F91" s="1" t="s">
        <v>323</v>
      </c>
      <c r="G91" s="3">
        <v>-0.122417295351624</v>
      </c>
      <c r="H91" s="1" t="s">
        <v>95</v>
      </c>
      <c r="I91" s="1" t="s">
        <v>73</v>
      </c>
      <c r="J91" s="1">
        <v>53</v>
      </c>
      <c r="K91" s="1" t="s">
        <v>129</v>
      </c>
      <c r="L91" s="1" t="s">
        <v>324</v>
      </c>
      <c r="M91" s="3">
        <v>-0.169140644371509</v>
      </c>
      <c r="N91" s="3">
        <f t="shared" si="1"/>
        <v>-0.14577896986156599</v>
      </c>
    </row>
    <row r="92" spans="1:14" x14ac:dyDescent="0.2">
      <c r="A92" s="1" t="s">
        <v>144</v>
      </c>
      <c r="B92" s="1" t="s">
        <v>93</v>
      </c>
      <c r="C92" s="1" t="s">
        <v>73</v>
      </c>
      <c r="D92" s="1">
        <v>53</v>
      </c>
      <c r="E92" s="1" t="s">
        <v>130</v>
      </c>
      <c r="F92" s="1" t="s">
        <v>325</v>
      </c>
      <c r="G92" s="3">
        <v>-2.3938351621230401E-2</v>
      </c>
      <c r="H92" s="1" t="s">
        <v>95</v>
      </c>
      <c r="I92" s="1" t="s">
        <v>73</v>
      </c>
      <c r="J92" s="1">
        <v>53</v>
      </c>
      <c r="K92" s="1" t="s">
        <v>130</v>
      </c>
      <c r="L92" s="1" t="s">
        <v>326</v>
      </c>
      <c r="M92" s="3">
        <v>2.4081486587723001E-2</v>
      </c>
      <c r="N92" s="3">
        <f t="shared" si="1"/>
        <v>7.1567483246300399E-5</v>
      </c>
    </row>
    <row r="93" spans="1:14" x14ac:dyDescent="0.2">
      <c r="A93" s="1" t="s">
        <v>144</v>
      </c>
      <c r="B93" s="1" t="s">
        <v>93</v>
      </c>
      <c r="C93" s="1" t="s">
        <v>93</v>
      </c>
      <c r="D93" s="1">
        <v>68</v>
      </c>
      <c r="E93" s="1" t="s">
        <v>73</v>
      </c>
      <c r="F93" s="1" t="s">
        <v>327</v>
      </c>
      <c r="G93" s="3">
        <v>0.49416971206665</v>
      </c>
      <c r="H93" s="1" t="s">
        <v>95</v>
      </c>
      <c r="I93" s="1" t="s">
        <v>93</v>
      </c>
      <c r="J93" s="1">
        <v>68</v>
      </c>
      <c r="K93" s="1" t="s">
        <v>73</v>
      </c>
      <c r="L93" s="1" t="s">
        <v>328</v>
      </c>
      <c r="M93" s="3">
        <v>0.72148544092972999</v>
      </c>
      <c r="N93" s="3">
        <f t="shared" si="1"/>
        <v>0.60782757649818997</v>
      </c>
    </row>
    <row r="94" spans="1:14" x14ac:dyDescent="0.2">
      <c r="A94" s="1" t="s">
        <v>144</v>
      </c>
      <c r="B94" s="1" t="s">
        <v>93</v>
      </c>
      <c r="C94" s="1" t="s">
        <v>93</v>
      </c>
      <c r="D94" s="1">
        <v>68</v>
      </c>
      <c r="E94" s="1" t="s">
        <v>95</v>
      </c>
      <c r="F94" s="1" t="s">
        <v>329</v>
      </c>
      <c r="G94" s="3">
        <v>-0.60070929924646999</v>
      </c>
      <c r="H94" s="1" t="s">
        <v>95</v>
      </c>
      <c r="I94" s="1" t="s">
        <v>93</v>
      </c>
      <c r="J94" s="1">
        <v>68</v>
      </c>
      <c r="K94" s="1" t="s">
        <v>95</v>
      </c>
      <c r="L94" s="1" t="s">
        <v>330</v>
      </c>
      <c r="M94" s="3">
        <v>-0.53441980481147699</v>
      </c>
      <c r="N94" s="3">
        <f t="shared" si="1"/>
        <v>-0.56756455202897305</v>
      </c>
    </row>
    <row r="95" spans="1:14" x14ac:dyDescent="0.2">
      <c r="A95" s="1" t="s">
        <v>144</v>
      </c>
      <c r="B95" s="1" t="s">
        <v>93</v>
      </c>
      <c r="C95" s="1" t="s">
        <v>93</v>
      </c>
      <c r="D95" s="1">
        <v>68</v>
      </c>
      <c r="E95" s="1" t="s">
        <v>136</v>
      </c>
      <c r="F95" s="1" t="s">
        <v>331</v>
      </c>
      <c r="G95" s="3">
        <v>-0.21814940373102801</v>
      </c>
      <c r="H95" s="1" t="s">
        <v>95</v>
      </c>
      <c r="I95" s="1" t="s">
        <v>93</v>
      </c>
      <c r="J95" s="1">
        <v>68</v>
      </c>
      <c r="K95" s="1" t="s">
        <v>136</v>
      </c>
      <c r="L95" s="1" t="s">
        <v>332</v>
      </c>
      <c r="M95" s="3">
        <v>-0.24903263648351001</v>
      </c>
      <c r="N95" s="3">
        <f t="shared" si="1"/>
        <v>-0.23359102010726901</v>
      </c>
    </row>
    <row r="96" spans="1:14" x14ac:dyDescent="0.2">
      <c r="A96" s="1" t="s">
        <v>144</v>
      </c>
      <c r="B96" s="1" t="s">
        <v>93</v>
      </c>
      <c r="C96" s="1" t="s">
        <v>66</v>
      </c>
      <c r="D96" s="1">
        <v>70</v>
      </c>
      <c r="E96" s="1" t="s">
        <v>71</v>
      </c>
      <c r="F96" s="1" t="s">
        <v>333</v>
      </c>
      <c r="G96" s="3">
        <v>1.10694060722986</v>
      </c>
      <c r="H96" s="1" t="s">
        <v>95</v>
      </c>
      <c r="I96" s="1" t="s">
        <v>66</v>
      </c>
      <c r="J96" s="1">
        <v>70</v>
      </c>
      <c r="K96" s="1" t="s">
        <v>71</v>
      </c>
      <c r="L96" s="1" t="s">
        <v>334</v>
      </c>
      <c r="M96" s="3">
        <v>0.957931081453959</v>
      </c>
      <c r="N96" s="3">
        <f t="shared" si="1"/>
        <v>1.0324358443419099</v>
      </c>
    </row>
    <row r="97" spans="1:14" x14ac:dyDescent="0.2">
      <c r="A97" s="1" t="s">
        <v>144</v>
      </c>
      <c r="B97" s="1" t="s">
        <v>93</v>
      </c>
      <c r="C97" s="1" t="s">
        <v>66</v>
      </c>
      <c r="D97" s="1">
        <v>70</v>
      </c>
      <c r="E97" s="1" t="s">
        <v>133</v>
      </c>
      <c r="F97" s="1" t="s">
        <v>335</v>
      </c>
      <c r="G97" s="3">
        <v>0.70691940436760503</v>
      </c>
      <c r="H97" s="1" t="s">
        <v>95</v>
      </c>
      <c r="I97" s="1" t="s">
        <v>66</v>
      </c>
      <c r="J97" s="1">
        <v>70</v>
      </c>
      <c r="K97" s="1" t="s">
        <v>133</v>
      </c>
      <c r="L97" s="1" t="s">
        <v>336</v>
      </c>
      <c r="M97" s="3">
        <v>0.69713486731052399</v>
      </c>
      <c r="N97" s="3">
        <f t="shared" si="1"/>
        <v>0.70202713583906495</v>
      </c>
    </row>
    <row r="98" spans="1:14" x14ac:dyDescent="0.2">
      <c r="A98" s="1" t="s">
        <v>144</v>
      </c>
      <c r="B98" s="1" t="s">
        <v>93</v>
      </c>
      <c r="C98" s="1" t="s">
        <v>66</v>
      </c>
      <c r="D98" s="1">
        <v>70</v>
      </c>
      <c r="E98" s="1" t="s">
        <v>130</v>
      </c>
      <c r="F98" s="1" t="s">
        <v>337</v>
      </c>
      <c r="G98" s="3">
        <v>1.6679430405298801</v>
      </c>
      <c r="H98" s="1" t="s">
        <v>95</v>
      </c>
      <c r="I98" s="1" t="s">
        <v>66</v>
      </c>
      <c r="J98" s="1">
        <v>70</v>
      </c>
      <c r="K98" s="1" t="s">
        <v>130</v>
      </c>
      <c r="L98" s="1" t="s">
        <v>338</v>
      </c>
      <c r="M98" s="3">
        <v>1.5769035021464</v>
      </c>
      <c r="N98" s="3">
        <f t="shared" si="1"/>
        <v>1.6224232713381399</v>
      </c>
    </row>
    <row r="99" spans="1:14" x14ac:dyDescent="0.2">
      <c r="A99" s="1" t="s">
        <v>144</v>
      </c>
      <c r="B99" s="1" t="s">
        <v>93</v>
      </c>
      <c r="C99" s="1" t="s">
        <v>9</v>
      </c>
      <c r="D99" s="1">
        <v>71</v>
      </c>
      <c r="E99" s="1" t="s">
        <v>131</v>
      </c>
      <c r="F99" s="1" t="s">
        <v>339</v>
      </c>
      <c r="G99" s="3">
        <v>0.49522037307421302</v>
      </c>
      <c r="H99" s="1" t="s">
        <v>95</v>
      </c>
      <c r="I99" s="1" t="s">
        <v>9</v>
      </c>
      <c r="J99" s="1">
        <v>71</v>
      </c>
      <c r="K99" s="1" t="s">
        <v>131</v>
      </c>
      <c r="L99" s="1" t="s">
        <v>340</v>
      </c>
      <c r="M99" s="3">
        <v>0.53880009055137601</v>
      </c>
      <c r="N99" s="3">
        <f t="shared" si="1"/>
        <v>0.51701023181279404</v>
      </c>
    </row>
    <row r="100" spans="1:14" x14ac:dyDescent="0.2">
      <c r="A100" s="1" t="s">
        <v>144</v>
      </c>
      <c r="B100" s="1" t="s">
        <v>93</v>
      </c>
      <c r="C100" s="1" t="s">
        <v>9</v>
      </c>
      <c r="D100" s="1">
        <v>71</v>
      </c>
      <c r="E100" s="1" t="s">
        <v>132</v>
      </c>
      <c r="F100" s="1" t="s">
        <v>341</v>
      </c>
      <c r="G100" s="3">
        <v>1.18826500574747</v>
      </c>
      <c r="H100" s="1" t="s">
        <v>95</v>
      </c>
      <c r="I100" s="1" t="s">
        <v>9</v>
      </c>
      <c r="J100" s="1">
        <v>71</v>
      </c>
      <c r="K100" s="1" t="s">
        <v>132</v>
      </c>
      <c r="L100" s="1" t="s">
        <v>342</v>
      </c>
      <c r="M100" s="3">
        <v>1.04023071130116</v>
      </c>
      <c r="N100" s="3">
        <f t="shared" si="1"/>
        <v>1.1142478585243101</v>
      </c>
    </row>
    <row r="101" spans="1:14" x14ac:dyDescent="0.2">
      <c r="A101" s="1" t="s">
        <v>144</v>
      </c>
      <c r="B101" s="1" t="s">
        <v>93</v>
      </c>
      <c r="C101" s="1" t="s">
        <v>9</v>
      </c>
      <c r="D101" s="1">
        <v>76</v>
      </c>
      <c r="E101" s="1" t="s">
        <v>131</v>
      </c>
      <c r="F101" s="1" t="s">
        <v>343</v>
      </c>
      <c r="G101" s="3">
        <v>1.37326008081436</v>
      </c>
      <c r="H101" s="1" t="s">
        <v>95</v>
      </c>
      <c r="I101" s="1" t="s">
        <v>9</v>
      </c>
      <c r="J101" s="1">
        <v>76</v>
      </c>
      <c r="K101" s="1" t="s">
        <v>131</v>
      </c>
      <c r="L101" s="1" t="s">
        <v>344</v>
      </c>
      <c r="M101" s="3">
        <v>0.83376886447270704</v>
      </c>
      <c r="N101" s="3">
        <f t="shared" si="1"/>
        <v>1.10351447264353</v>
      </c>
    </row>
    <row r="102" spans="1:14" x14ac:dyDescent="0.2">
      <c r="A102" s="1" t="s">
        <v>144</v>
      </c>
      <c r="B102" s="1" t="s">
        <v>93</v>
      </c>
      <c r="C102" s="1" t="s">
        <v>9</v>
      </c>
      <c r="D102" s="1">
        <v>76</v>
      </c>
      <c r="E102" s="1" t="s">
        <v>132</v>
      </c>
      <c r="F102" s="1" t="s">
        <v>345</v>
      </c>
      <c r="G102" s="3">
        <v>1.44597172737121</v>
      </c>
      <c r="H102" s="1" t="s">
        <v>95</v>
      </c>
      <c r="I102" s="1" t="s">
        <v>9</v>
      </c>
      <c r="J102" s="1">
        <v>76</v>
      </c>
      <c r="K102" s="1" t="s">
        <v>132</v>
      </c>
      <c r="L102" s="1" t="s">
        <v>346</v>
      </c>
      <c r="M102" s="3">
        <v>1.48109370470047</v>
      </c>
      <c r="N102" s="3">
        <f t="shared" si="1"/>
        <v>1.46353271603584</v>
      </c>
    </row>
    <row r="103" spans="1:14" x14ac:dyDescent="0.2">
      <c r="A103" s="1" t="s">
        <v>144</v>
      </c>
      <c r="B103" s="1" t="s">
        <v>93</v>
      </c>
      <c r="C103" s="1" t="s">
        <v>140</v>
      </c>
      <c r="D103" s="1">
        <v>88</v>
      </c>
      <c r="E103" s="1" t="s">
        <v>7</v>
      </c>
      <c r="F103" s="1" t="s">
        <v>347</v>
      </c>
      <c r="G103" s="3">
        <v>4.5126565421621002E-2</v>
      </c>
      <c r="H103" s="1" t="s">
        <v>95</v>
      </c>
      <c r="I103" s="1" t="s">
        <v>140</v>
      </c>
      <c r="J103" s="1">
        <v>88</v>
      </c>
      <c r="K103" s="1" t="s">
        <v>7</v>
      </c>
      <c r="L103" s="1" t="s">
        <v>348</v>
      </c>
      <c r="M103" s="3">
        <v>0.123852389554182</v>
      </c>
      <c r="N103" s="3">
        <f t="shared" si="1"/>
        <v>8.4489477487901504E-2</v>
      </c>
    </row>
    <row r="104" spans="1:14" x14ac:dyDescent="0.2">
      <c r="A104" s="1" t="s">
        <v>144</v>
      </c>
      <c r="B104" s="1" t="s">
        <v>93</v>
      </c>
      <c r="C104" s="1" t="s">
        <v>140</v>
      </c>
      <c r="D104" s="1">
        <v>88</v>
      </c>
      <c r="E104" s="1" t="s">
        <v>139</v>
      </c>
      <c r="F104" s="1" t="s">
        <v>349</v>
      </c>
      <c r="G104" s="3">
        <v>-0.22389860947926801</v>
      </c>
      <c r="H104" s="1" t="s">
        <v>95</v>
      </c>
      <c r="I104" s="1" t="s">
        <v>140</v>
      </c>
      <c r="J104" s="1">
        <v>88</v>
      </c>
      <c r="K104" s="1" t="s">
        <v>139</v>
      </c>
      <c r="L104" s="1" t="s">
        <v>350</v>
      </c>
      <c r="M104" s="3">
        <v>-0.27960911889870899</v>
      </c>
      <c r="N104" s="3">
        <f t="shared" si="1"/>
        <v>-0.25175386418898799</v>
      </c>
    </row>
    <row r="105" spans="1:14" x14ac:dyDescent="0.2">
      <c r="A105" s="1" t="s">
        <v>144</v>
      </c>
      <c r="B105" s="1" t="s">
        <v>93</v>
      </c>
      <c r="C105" s="1" t="s">
        <v>140</v>
      </c>
      <c r="D105" s="1">
        <v>88</v>
      </c>
      <c r="E105" s="1" t="s">
        <v>136</v>
      </c>
      <c r="F105" s="1" t="s">
        <v>351</v>
      </c>
      <c r="G105" s="3">
        <v>-7.0547935863335895E-2</v>
      </c>
      <c r="H105" s="1" t="s">
        <v>95</v>
      </c>
      <c r="I105" s="1" t="s">
        <v>140</v>
      </c>
      <c r="J105" s="1">
        <v>88</v>
      </c>
      <c r="K105" s="1" t="s">
        <v>136</v>
      </c>
      <c r="L105" s="1" t="s">
        <v>352</v>
      </c>
      <c r="M105" s="3">
        <v>7.9783822099367702E-3</v>
      </c>
      <c r="N105" s="3">
        <f t="shared" si="1"/>
        <v>-3.1284776826699598E-2</v>
      </c>
    </row>
    <row r="106" spans="1:14" x14ac:dyDescent="0.2">
      <c r="A106" s="1" t="s">
        <v>144</v>
      </c>
      <c r="B106" s="1" t="s">
        <v>93</v>
      </c>
      <c r="C106" s="1" t="s">
        <v>140</v>
      </c>
      <c r="D106" s="1">
        <v>88</v>
      </c>
      <c r="E106" s="1" t="s">
        <v>130</v>
      </c>
      <c r="F106" s="1" t="s">
        <v>353</v>
      </c>
      <c r="G106" s="3">
        <v>3.6762186015645598E-2</v>
      </c>
      <c r="H106" s="1" t="s">
        <v>95</v>
      </c>
      <c r="I106" s="1" t="s">
        <v>140</v>
      </c>
      <c r="J106" s="1">
        <v>88</v>
      </c>
      <c r="K106" s="1" t="s">
        <v>130</v>
      </c>
      <c r="L106" s="1" t="s">
        <v>354</v>
      </c>
      <c r="M106" s="3">
        <v>4.1873778526981598E-2</v>
      </c>
      <c r="N106" s="3">
        <f t="shared" si="1"/>
        <v>3.9317982271313598E-2</v>
      </c>
    </row>
    <row r="107" spans="1:14" x14ac:dyDescent="0.2">
      <c r="A107" s="1" t="s">
        <v>144</v>
      </c>
      <c r="B107" s="1" t="s">
        <v>93</v>
      </c>
      <c r="C107" s="1" t="s">
        <v>9</v>
      </c>
      <c r="D107" s="1">
        <v>93</v>
      </c>
      <c r="E107" s="1" t="s">
        <v>93</v>
      </c>
      <c r="F107" s="1" t="s">
        <v>355</v>
      </c>
      <c r="G107" s="3">
        <v>6.1137219270070299E-2</v>
      </c>
      <c r="H107" s="1" t="s">
        <v>95</v>
      </c>
      <c r="I107" s="1" t="s">
        <v>9</v>
      </c>
      <c r="J107" s="1">
        <v>93</v>
      </c>
      <c r="K107" s="1" t="s">
        <v>93</v>
      </c>
      <c r="L107" s="1" t="s">
        <v>356</v>
      </c>
      <c r="M107" s="3">
        <v>0.36160786946614498</v>
      </c>
      <c r="N107" s="3">
        <f t="shared" si="1"/>
        <v>0.21137254436810801</v>
      </c>
    </row>
    <row r="108" spans="1:14" x14ac:dyDescent="0.2">
      <c r="A108" s="1" t="s">
        <v>144</v>
      </c>
      <c r="B108" s="1" t="s">
        <v>93</v>
      </c>
      <c r="C108" s="1" t="s">
        <v>9</v>
      </c>
      <c r="D108" s="1">
        <v>93</v>
      </c>
      <c r="E108" s="1" t="s">
        <v>131</v>
      </c>
      <c r="F108" s="1" t="s">
        <v>357</v>
      </c>
      <c r="G108" s="3">
        <v>0.70905727148055997</v>
      </c>
      <c r="H108" s="1" t="s">
        <v>95</v>
      </c>
      <c r="I108" s="1" t="s">
        <v>9</v>
      </c>
      <c r="J108" s="1">
        <v>93</v>
      </c>
      <c r="K108" s="1" t="s">
        <v>131</v>
      </c>
      <c r="L108" s="1" t="s">
        <v>358</v>
      </c>
      <c r="M108" s="3">
        <v>1.03495516379674</v>
      </c>
      <c r="N108" s="3">
        <f t="shared" si="1"/>
        <v>0.87200621763865005</v>
      </c>
    </row>
    <row r="109" spans="1:14" x14ac:dyDescent="0.2">
      <c r="A109" s="1" t="s">
        <v>144</v>
      </c>
      <c r="B109" s="1" t="s">
        <v>93</v>
      </c>
      <c r="C109" s="1" t="s">
        <v>9</v>
      </c>
      <c r="D109" s="1">
        <v>93</v>
      </c>
      <c r="E109" s="1" t="s">
        <v>132</v>
      </c>
      <c r="F109" s="1" t="s">
        <v>359</v>
      </c>
      <c r="G109" s="3">
        <v>0.53287749489148395</v>
      </c>
      <c r="H109" s="1" t="s">
        <v>95</v>
      </c>
      <c r="I109" s="1" t="s">
        <v>9</v>
      </c>
      <c r="J109" s="1">
        <v>93</v>
      </c>
      <c r="K109" s="1" t="s">
        <v>132</v>
      </c>
      <c r="L109" s="1" t="s">
        <v>360</v>
      </c>
      <c r="M109" s="3">
        <v>0.68071738878885901</v>
      </c>
      <c r="N109" s="3">
        <f t="shared" si="1"/>
        <v>0.60679744184017104</v>
      </c>
    </row>
    <row r="110" spans="1:14" x14ac:dyDescent="0.2">
      <c r="A110" s="1" t="s">
        <v>144</v>
      </c>
      <c r="B110" s="1" t="s">
        <v>93</v>
      </c>
      <c r="C110" s="1" t="s">
        <v>73</v>
      </c>
      <c r="D110" s="1">
        <v>104</v>
      </c>
      <c r="E110" s="1" t="s">
        <v>9</v>
      </c>
      <c r="F110" s="1" t="s">
        <v>361</v>
      </c>
      <c r="G110" s="3">
        <v>0.46107893188794402</v>
      </c>
      <c r="H110" s="1" t="s">
        <v>95</v>
      </c>
      <c r="I110" s="1" t="s">
        <v>73</v>
      </c>
      <c r="J110" s="1">
        <v>104</v>
      </c>
      <c r="K110" s="1" t="s">
        <v>9</v>
      </c>
      <c r="L110" s="1" t="s">
        <v>362</v>
      </c>
      <c r="M110" s="3">
        <v>0.32668383419513702</v>
      </c>
      <c r="N110" s="3">
        <f t="shared" si="1"/>
        <v>0.39388138304154102</v>
      </c>
    </row>
    <row r="111" spans="1:14" x14ac:dyDescent="0.2">
      <c r="A111" s="1" t="s">
        <v>144</v>
      </c>
      <c r="B111" s="1" t="s">
        <v>93</v>
      </c>
      <c r="C111" s="1" t="s">
        <v>73</v>
      </c>
      <c r="D111" s="1">
        <v>104</v>
      </c>
      <c r="E111" s="1" t="s">
        <v>129</v>
      </c>
      <c r="F111" s="1" t="s">
        <v>363</v>
      </c>
      <c r="G111" s="3">
        <v>0.43544735014438601</v>
      </c>
      <c r="H111" s="1" t="s">
        <v>95</v>
      </c>
      <c r="I111" s="1" t="s">
        <v>73</v>
      </c>
      <c r="J111" s="1">
        <v>104</v>
      </c>
      <c r="K111" s="1" t="s">
        <v>129</v>
      </c>
      <c r="L111" s="1" t="s">
        <v>364</v>
      </c>
      <c r="M111" s="3">
        <v>0.32729401687781001</v>
      </c>
      <c r="N111" s="3">
        <f t="shared" si="1"/>
        <v>0.38137068351109799</v>
      </c>
    </row>
    <row r="112" spans="1:14" x14ac:dyDescent="0.2">
      <c r="A112" s="1" t="s">
        <v>144</v>
      </c>
      <c r="B112" s="1" t="s">
        <v>93</v>
      </c>
      <c r="C112" s="1" t="s">
        <v>73</v>
      </c>
      <c r="D112" s="1">
        <v>104</v>
      </c>
      <c r="E112" s="1" t="s">
        <v>141</v>
      </c>
      <c r="F112" s="1" t="s">
        <v>365</v>
      </c>
      <c r="G112" s="3">
        <v>-0.109079867601394</v>
      </c>
      <c r="H112" s="1" t="s">
        <v>95</v>
      </c>
      <c r="I112" s="1" t="s">
        <v>73</v>
      </c>
      <c r="J112" s="1">
        <v>104</v>
      </c>
      <c r="K112" s="1" t="s">
        <v>141</v>
      </c>
      <c r="L112" s="1" t="s">
        <v>366</v>
      </c>
      <c r="M112" s="3">
        <v>-0.190374078849951</v>
      </c>
      <c r="N112" s="3">
        <f t="shared" si="1"/>
        <v>-0.14972697322567199</v>
      </c>
    </row>
    <row r="113" spans="1:14" x14ac:dyDescent="0.2">
      <c r="A113" s="1" t="s">
        <v>144</v>
      </c>
      <c r="B113" s="1" t="s">
        <v>93</v>
      </c>
      <c r="C113" s="1" t="s">
        <v>9</v>
      </c>
      <c r="D113" s="1">
        <v>113</v>
      </c>
      <c r="E113" s="1" t="s">
        <v>93</v>
      </c>
      <c r="F113" s="1" t="s">
        <v>367</v>
      </c>
      <c r="G113" s="3">
        <v>0.44924606879552198</v>
      </c>
      <c r="H113" s="1" t="s">
        <v>95</v>
      </c>
      <c r="I113" s="1" t="s">
        <v>9</v>
      </c>
      <c r="J113" s="1">
        <v>113</v>
      </c>
      <c r="K113" s="1" t="s">
        <v>93</v>
      </c>
      <c r="L113" s="1" t="s">
        <v>368</v>
      </c>
      <c r="M113" s="3">
        <v>0.45557753245035798</v>
      </c>
      <c r="N113" s="3">
        <f t="shared" si="1"/>
        <v>0.45241180062294001</v>
      </c>
    </row>
    <row r="114" spans="1:14" x14ac:dyDescent="0.2">
      <c r="A114" s="1" t="s">
        <v>144</v>
      </c>
      <c r="B114" s="1" t="s">
        <v>93</v>
      </c>
      <c r="C114" s="1" t="s">
        <v>9</v>
      </c>
      <c r="D114" s="1">
        <v>113</v>
      </c>
      <c r="E114" s="1" t="s">
        <v>131</v>
      </c>
      <c r="F114" s="1" t="s">
        <v>369</v>
      </c>
      <c r="G114" s="3">
        <v>4.0184671680132497E-2</v>
      </c>
      <c r="H114" s="1" t="s">
        <v>95</v>
      </c>
      <c r="I114" s="1" t="s">
        <v>9</v>
      </c>
      <c r="J114" s="1">
        <v>113</v>
      </c>
      <c r="K114" s="1" t="s">
        <v>131</v>
      </c>
      <c r="L114" s="1" t="s">
        <v>370</v>
      </c>
      <c r="M114" s="3">
        <v>2.19503107170263E-3</v>
      </c>
      <c r="N114" s="3">
        <f t="shared" si="1"/>
        <v>2.1189851375917602E-2</v>
      </c>
    </row>
    <row r="115" spans="1:14" x14ac:dyDescent="0.2">
      <c r="A115" s="1" t="s">
        <v>144</v>
      </c>
      <c r="B115" s="1" t="s">
        <v>93</v>
      </c>
      <c r="C115" s="1" t="s">
        <v>9</v>
      </c>
      <c r="D115" s="1">
        <v>113</v>
      </c>
      <c r="E115" s="1" t="s">
        <v>132</v>
      </c>
      <c r="F115" s="1" t="s">
        <v>371</v>
      </c>
      <c r="G115" s="3">
        <v>0.41799231866995401</v>
      </c>
      <c r="H115" s="1" t="s">
        <v>95</v>
      </c>
      <c r="I115" s="1" t="s">
        <v>9</v>
      </c>
      <c r="J115" s="1">
        <v>113</v>
      </c>
      <c r="K115" s="1" t="s">
        <v>132</v>
      </c>
      <c r="L115" s="1" t="s">
        <v>372</v>
      </c>
      <c r="M115" s="3">
        <v>0.44470945994059202</v>
      </c>
      <c r="N115" s="3">
        <f t="shared" si="1"/>
        <v>0.43135088930527299</v>
      </c>
    </row>
  </sheetData>
  <autoFilter ref="A1:N115" xr:uid="{00000000-0009-0000-0000-000002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5"/>
  <sheetViews>
    <sheetView tabSelected="1" workbookViewId="0">
      <selection activeCell="K25" sqref="K25"/>
    </sheetView>
  </sheetViews>
  <sheetFormatPr defaultColWidth="8.75" defaultRowHeight="18.75" x14ac:dyDescent="0.2"/>
  <cols>
    <col min="1" max="1" width="10.875" style="1" customWidth="1"/>
    <col min="2" max="3" width="12.5" style="1" customWidth="1"/>
    <col min="4" max="4" width="7.125" style="1" customWidth="1"/>
    <col min="5" max="5" width="15" style="1" customWidth="1"/>
    <col min="6" max="6" width="15.875" style="1" customWidth="1"/>
    <col min="7" max="7" width="17" style="1" customWidth="1"/>
    <col min="8" max="8" width="8.75" style="3"/>
  </cols>
  <sheetData>
    <row r="1" spans="1:8" x14ac:dyDescent="0.2">
      <c r="A1" s="1" t="s">
        <v>373</v>
      </c>
      <c r="B1" s="1" t="s">
        <v>2</v>
      </c>
      <c r="C1" s="1" t="s">
        <v>374</v>
      </c>
      <c r="D1" s="1" t="s">
        <v>1</v>
      </c>
      <c r="E1" s="1" t="s">
        <v>4</v>
      </c>
      <c r="F1" s="1" t="s">
        <v>128</v>
      </c>
      <c r="G1" s="1" t="s">
        <v>375</v>
      </c>
      <c r="H1" s="3" t="s">
        <v>376</v>
      </c>
    </row>
    <row r="2" spans="1:8" x14ac:dyDescent="0.2">
      <c r="A2" s="1" t="s">
        <v>377</v>
      </c>
      <c r="B2" s="1" t="s">
        <v>72</v>
      </c>
      <c r="C2" s="1">
        <v>1</v>
      </c>
      <c r="D2" s="1">
        <v>19</v>
      </c>
      <c r="E2" s="3">
        <v>9.8500000000000004E-2</v>
      </c>
      <c r="F2" s="3">
        <v>0.255</v>
      </c>
      <c r="G2" s="3">
        <v>-1.1073317068318499E-2</v>
      </c>
      <c r="H2" s="3">
        <f>AVERAGE(E2:G2)</f>
        <v>0.11414222764389401</v>
      </c>
    </row>
    <row r="3" spans="1:8" x14ac:dyDescent="0.2">
      <c r="A3" s="1" t="s">
        <v>377</v>
      </c>
      <c r="B3" s="1" t="s">
        <v>74</v>
      </c>
      <c r="C3" s="1">
        <v>2</v>
      </c>
      <c r="D3" s="1">
        <v>19</v>
      </c>
      <c r="E3" s="3">
        <v>0.189</v>
      </c>
      <c r="F3" s="3">
        <v>-0.11</v>
      </c>
      <c r="G3" s="3">
        <v>-5.4201518185436497E-2</v>
      </c>
      <c r="H3" s="3">
        <f t="shared" ref="H3:H68" si="0">AVERAGE(E3:G3)</f>
        <v>8.2661606048544996E-3</v>
      </c>
    </row>
    <row r="4" spans="1:8" x14ac:dyDescent="0.2">
      <c r="A4" s="1" t="s">
        <v>377</v>
      </c>
      <c r="B4" s="1" t="s">
        <v>75</v>
      </c>
      <c r="C4" s="1">
        <v>3</v>
      </c>
      <c r="D4" s="1">
        <v>19</v>
      </c>
      <c r="E4" s="3">
        <v>0.17100000000000001</v>
      </c>
      <c r="F4" s="3">
        <v>0.22</v>
      </c>
      <c r="G4" s="3">
        <v>-2.5472119140128299E-2</v>
      </c>
      <c r="H4" s="3">
        <f t="shared" si="0"/>
        <v>0.121842626953291</v>
      </c>
    </row>
    <row r="5" spans="1:8" x14ac:dyDescent="0.2">
      <c r="A5" s="1" t="s">
        <v>377</v>
      </c>
      <c r="B5" s="1" t="s">
        <v>76</v>
      </c>
      <c r="C5" s="1">
        <v>1</v>
      </c>
      <c r="D5" s="1">
        <v>19</v>
      </c>
      <c r="E5" s="3">
        <v>0.70250000000000001</v>
      </c>
      <c r="F5" s="3">
        <v>0.52</v>
      </c>
      <c r="G5" s="3">
        <v>-0.16167882581551801</v>
      </c>
      <c r="H5" s="3">
        <f t="shared" si="0"/>
        <v>0.35360705806149401</v>
      </c>
    </row>
    <row r="6" spans="1:8" x14ac:dyDescent="0.2">
      <c r="A6" s="1" t="s">
        <v>377</v>
      </c>
      <c r="B6" s="1" t="s">
        <v>77</v>
      </c>
      <c r="C6" s="1">
        <v>1</v>
      </c>
      <c r="D6" s="1">
        <v>19</v>
      </c>
      <c r="E6" s="3">
        <v>0.17599999999999999</v>
      </c>
      <c r="F6" s="3">
        <v>-0.01</v>
      </c>
      <c r="G6" s="3">
        <v>-1.08445047711332E-2</v>
      </c>
      <c r="H6" s="3">
        <f t="shared" si="0"/>
        <v>5.1718498409622303E-2</v>
      </c>
    </row>
    <row r="7" spans="1:8" x14ac:dyDescent="0.2">
      <c r="A7" s="1" t="s">
        <v>377</v>
      </c>
      <c r="B7" s="1" t="s">
        <v>78</v>
      </c>
      <c r="C7" s="1">
        <v>4</v>
      </c>
      <c r="D7" s="1">
        <v>29</v>
      </c>
      <c r="E7" s="3">
        <v>1.4444999999999999</v>
      </c>
      <c r="F7" s="3">
        <v>1.895</v>
      </c>
      <c r="G7" s="3">
        <v>1.5157620708147701</v>
      </c>
      <c r="H7" s="3">
        <f t="shared" si="0"/>
        <v>1.6184206902715901</v>
      </c>
    </row>
    <row r="8" spans="1:8" x14ac:dyDescent="0.2">
      <c r="A8" s="1" t="s">
        <v>377</v>
      </c>
      <c r="B8" s="1" t="s">
        <v>79</v>
      </c>
      <c r="C8" s="1">
        <v>8</v>
      </c>
      <c r="D8" s="1">
        <v>29</v>
      </c>
      <c r="E8" s="3">
        <v>0.66949999999999998</v>
      </c>
      <c r="F8" s="3">
        <v>0.755</v>
      </c>
      <c r="G8" s="3">
        <v>1.2388938864072101</v>
      </c>
      <c r="H8" s="3">
        <f t="shared" si="0"/>
        <v>0.88779796213573703</v>
      </c>
    </row>
    <row r="9" spans="1:8" x14ac:dyDescent="0.2">
      <c r="A9" s="1" t="s">
        <v>377</v>
      </c>
      <c r="B9" s="1" t="s">
        <v>80</v>
      </c>
      <c r="C9" s="1">
        <v>1</v>
      </c>
      <c r="D9" s="1">
        <v>29</v>
      </c>
      <c r="E9" s="3">
        <v>0.38150000000000001</v>
      </c>
      <c r="F9" s="3">
        <v>0.54</v>
      </c>
      <c r="G9" s="3">
        <v>0.88685749999999997</v>
      </c>
      <c r="H9" s="3">
        <f t="shared" si="0"/>
        <v>0.60278583333333335</v>
      </c>
    </row>
    <row r="10" spans="1:8" x14ac:dyDescent="0.2">
      <c r="A10" s="1" t="s">
        <v>377</v>
      </c>
      <c r="B10" s="1" t="s">
        <v>81</v>
      </c>
      <c r="C10" s="1">
        <v>1</v>
      </c>
      <c r="D10" s="1">
        <v>37</v>
      </c>
      <c r="E10" s="3">
        <v>0.41099999999999998</v>
      </c>
      <c r="F10" s="3">
        <v>0.25</v>
      </c>
      <c r="G10" s="3">
        <v>-0.147809207439422</v>
      </c>
      <c r="H10" s="3">
        <f t="shared" si="0"/>
        <v>0.17106359752019301</v>
      </c>
    </row>
    <row r="11" spans="1:8" x14ac:dyDescent="0.2">
      <c r="A11" s="1" t="s">
        <v>377</v>
      </c>
      <c r="B11" s="1" t="s">
        <v>82</v>
      </c>
      <c r="C11" s="1">
        <v>4</v>
      </c>
      <c r="D11" s="1">
        <v>37</v>
      </c>
      <c r="E11" s="3">
        <v>0.81200000000000006</v>
      </c>
      <c r="F11" s="3">
        <v>0.25</v>
      </c>
      <c r="G11" s="3">
        <v>0.76611911008755396</v>
      </c>
      <c r="H11" s="3">
        <f t="shared" si="0"/>
        <v>0.60937303669585097</v>
      </c>
    </row>
    <row r="12" spans="1:8" x14ac:dyDescent="0.2">
      <c r="A12" s="1" t="s">
        <v>377</v>
      </c>
      <c r="B12" s="1" t="s">
        <v>83</v>
      </c>
      <c r="C12" s="1">
        <v>2</v>
      </c>
      <c r="D12" s="1">
        <v>37</v>
      </c>
      <c r="E12" s="3">
        <v>0.39500000000000002</v>
      </c>
      <c r="F12" s="3">
        <v>0.28000000000000003</v>
      </c>
      <c r="G12" s="3">
        <v>2.8259719411531999E-2</v>
      </c>
      <c r="H12" s="3">
        <f t="shared" si="0"/>
        <v>0.234419906470511</v>
      </c>
    </row>
    <row r="13" spans="1:8" x14ac:dyDescent="0.2">
      <c r="A13" s="1" t="s">
        <v>377</v>
      </c>
      <c r="B13" s="1" t="s">
        <v>84</v>
      </c>
      <c r="C13" s="1">
        <v>1</v>
      </c>
      <c r="D13" s="1">
        <v>37</v>
      </c>
      <c r="E13" s="3">
        <v>0.94699999999999995</v>
      </c>
      <c r="F13" s="3">
        <v>0.53500000000000003</v>
      </c>
      <c r="G13" s="3">
        <v>0.76279546568791001</v>
      </c>
      <c r="H13" s="3">
        <f t="shared" si="0"/>
        <v>0.74826515522930304</v>
      </c>
    </row>
    <row r="14" spans="1:8" x14ac:dyDescent="0.2">
      <c r="A14" s="1" t="s">
        <v>377</v>
      </c>
      <c r="B14" s="1" t="s">
        <v>85</v>
      </c>
      <c r="C14" s="1">
        <v>1</v>
      </c>
      <c r="D14" s="1">
        <v>56</v>
      </c>
      <c r="E14" s="3">
        <v>0.72750000000000004</v>
      </c>
      <c r="F14" s="3">
        <v>1.2050000000000001</v>
      </c>
      <c r="G14" s="3">
        <v>1.0815675258636499</v>
      </c>
      <c r="H14" s="3">
        <f t="shared" si="0"/>
        <v>1.0046891752878799</v>
      </c>
    </row>
    <row r="15" spans="1:8" x14ac:dyDescent="0.2">
      <c r="A15" s="1" t="s">
        <v>377</v>
      </c>
      <c r="B15" s="1" t="s">
        <v>86</v>
      </c>
      <c r="C15" s="1">
        <v>1</v>
      </c>
      <c r="D15" s="1">
        <v>56</v>
      </c>
      <c r="E15" s="3">
        <v>0.52449999999999997</v>
      </c>
      <c r="F15" s="3">
        <v>1.34</v>
      </c>
      <c r="G15" s="3">
        <v>0.403762203951676</v>
      </c>
      <c r="H15" s="3">
        <f t="shared" si="0"/>
        <v>0.75608740131722496</v>
      </c>
    </row>
    <row r="16" spans="1:8" x14ac:dyDescent="0.2">
      <c r="A16" s="1" t="s">
        <v>377</v>
      </c>
      <c r="B16" s="1" t="s">
        <v>87</v>
      </c>
      <c r="C16" s="1">
        <v>1</v>
      </c>
      <c r="D16" s="1">
        <v>56</v>
      </c>
      <c r="E16" s="3">
        <v>0.89800000000000002</v>
      </c>
      <c r="F16" s="3">
        <v>1.32</v>
      </c>
      <c r="G16" s="3">
        <v>1.0472653632362601</v>
      </c>
      <c r="H16" s="3">
        <f t="shared" si="0"/>
        <v>1.0884217877454201</v>
      </c>
    </row>
    <row r="17" spans="1:8" x14ac:dyDescent="0.2">
      <c r="A17" s="1" t="s">
        <v>377</v>
      </c>
      <c r="B17" s="1" t="s">
        <v>88</v>
      </c>
      <c r="C17" s="1">
        <v>2</v>
      </c>
      <c r="D17" s="1">
        <v>56</v>
      </c>
      <c r="E17" s="3">
        <v>0.70150000000000001</v>
      </c>
      <c r="F17" s="3">
        <v>1.395</v>
      </c>
      <c r="G17" s="3">
        <v>1.13323553403218</v>
      </c>
      <c r="H17" s="3">
        <f t="shared" si="0"/>
        <v>1.07657851134406</v>
      </c>
    </row>
    <row r="18" spans="1:8" x14ac:dyDescent="0.2">
      <c r="A18" s="1" t="s">
        <v>377</v>
      </c>
      <c r="B18" s="1" t="s">
        <v>89</v>
      </c>
      <c r="C18" s="1">
        <v>6</v>
      </c>
      <c r="D18" s="1">
        <v>56</v>
      </c>
      <c r="E18" s="3">
        <v>0.49299999999999999</v>
      </c>
      <c r="F18" s="3">
        <v>1.4</v>
      </c>
      <c r="G18" s="3">
        <v>1.0298941681782401</v>
      </c>
      <c r="H18" s="3">
        <f t="shared" si="0"/>
        <v>0.974298056059413</v>
      </c>
    </row>
    <row r="19" spans="1:8" x14ac:dyDescent="0.2">
      <c r="A19" s="1" t="s">
        <v>377</v>
      </c>
      <c r="B19" s="1" t="s">
        <v>90</v>
      </c>
      <c r="C19" s="1">
        <v>1</v>
      </c>
      <c r="D19" s="1">
        <v>74</v>
      </c>
      <c r="E19" s="3">
        <v>0.152</v>
      </c>
      <c r="F19" s="3">
        <v>0.12</v>
      </c>
      <c r="G19" s="3">
        <v>0.130811699976523</v>
      </c>
      <c r="H19" s="3">
        <f t="shared" si="0"/>
        <v>0.13427056665884099</v>
      </c>
    </row>
    <row r="20" spans="1:8" x14ac:dyDescent="0.2">
      <c r="A20" s="1" t="s">
        <v>377</v>
      </c>
      <c r="B20" s="1" t="s">
        <v>92</v>
      </c>
      <c r="C20" s="1">
        <v>2</v>
      </c>
      <c r="D20" s="1">
        <v>74</v>
      </c>
      <c r="E20" s="3">
        <v>7.9499999999999987E-2</v>
      </c>
      <c r="F20" s="3">
        <v>-0.04</v>
      </c>
      <c r="G20" s="3">
        <v>3.74185E-2</v>
      </c>
      <c r="H20" s="3">
        <f t="shared" si="0"/>
        <v>2.5639499999999996E-2</v>
      </c>
    </row>
    <row r="21" spans="1:8" x14ac:dyDescent="0.2">
      <c r="A21" s="1" t="s">
        <v>377</v>
      </c>
      <c r="B21" s="1" t="s">
        <v>91</v>
      </c>
      <c r="C21" s="1">
        <v>6</v>
      </c>
      <c r="D21" s="1">
        <v>74</v>
      </c>
      <c r="E21" s="3">
        <v>0.11700000000000001</v>
      </c>
      <c r="F21" s="3">
        <v>-0.01</v>
      </c>
      <c r="G21" s="3">
        <v>8.9137839774290697E-2</v>
      </c>
      <c r="H21" s="3">
        <f t="shared" si="0"/>
        <v>6.5379279924763598E-2</v>
      </c>
    </row>
    <row r="22" spans="1:8" x14ac:dyDescent="0.2">
      <c r="A22" s="1" t="s">
        <v>378</v>
      </c>
      <c r="B22" s="1" t="s">
        <v>94</v>
      </c>
      <c r="C22" s="1">
        <v>1</v>
      </c>
      <c r="D22" s="1">
        <v>35</v>
      </c>
      <c r="E22" s="3">
        <v>0.29249999999999998</v>
      </c>
      <c r="F22" s="3">
        <v>0.56499999999999995</v>
      </c>
      <c r="G22" s="3">
        <v>0.34809096157550801</v>
      </c>
      <c r="H22" s="3">
        <f t="shared" si="0"/>
        <v>0.40186365385850298</v>
      </c>
    </row>
    <row r="23" spans="1:8" x14ac:dyDescent="0.2">
      <c r="A23" s="1" t="s">
        <v>378</v>
      </c>
      <c r="B23" s="1" t="s">
        <v>96</v>
      </c>
      <c r="C23" s="1">
        <v>4</v>
      </c>
      <c r="D23" s="1">
        <v>35</v>
      </c>
      <c r="E23" s="3">
        <v>0.14099999999999999</v>
      </c>
      <c r="F23" s="3">
        <v>0.495</v>
      </c>
      <c r="G23" s="3">
        <v>0.142832897603512</v>
      </c>
      <c r="H23" s="3">
        <f t="shared" si="0"/>
        <v>0.259610965867837</v>
      </c>
    </row>
    <row r="24" spans="1:8" x14ac:dyDescent="0.2">
      <c r="A24" s="1" t="s">
        <v>378</v>
      </c>
      <c r="B24" s="1" t="s">
        <v>97</v>
      </c>
      <c r="C24" s="1">
        <v>4</v>
      </c>
      <c r="D24" s="1">
        <v>35</v>
      </c>
      <c r="E24" s="3">
        <v>0.3125</v>
      </c>
      <c r="F24" s="3">
        <v>0.505</v>
      </c>
      <c r="G24" s="3">
        <v>0.316952748845021</v>
      </c>
      <c r="H24" s="3">
        <f t="shared" si="0"/>
        <v>0.37815091628167402</v>
      </c>
    </row>
    <row r="25" spans="1:8" x14ac:dyDescent="0.2">
      <c r="A25" s="1" t="s">
        <v>378</v>
      </c>
      <c r="B25" s="1" t="s">
        <v>98</v>
      </c>
      <c r="C25" s="1">
        <v>1</v>
      </c>
      <c r="D25" s="1">
        <v>36</v>
      </c>
      <c r="E25" s="3">
        <v>0.19550000000000001</v>
      </c>
      <c r="F25" s="3">
        <v>0.245</v>
      </c>
      <c r="G25" s="3">
        <v>0.15707716345787001</v>
      </c>
      <c r="H25" s="3">
        <f t="shared" si="0"/>
        <v>0.19919238781929</v>
      </c>
    </row>
    <row r="26" spans="1:8" x14ac:dyDescent="0.2">
      <c r="A26" s="1" t="s">
        <v>378</v>
      </c>
      <c r="B26" s="1" t="s">
        <v>99</v>
      </c>
      <c r="C26" s="1">
        <v>3</v>
      </c>
      <c r="D26" s="1">
        <v>36</v>
      </c>
      <c r="E26" s="3">
        <v>0.16350000000000001</v>
      </c>
      <c r="F26" s="3">
        <v>0.22</v>
      </c>
      <c r="G26" s="3">
        <v>0.26890310645103399</v>
      </c>
      <c r="H26" s="3">
        <f t="shared" si="0"/>
        <v>0.217467702150345</v>
      </c>
    </row>
    <row r="27" spans="1:8" x14ac:dyDescent="0.2">
      <c r="A27" s="1" t="s">
        <v>378</v>
      </c>
      <c r="B27" s="1" t="s">
        <v>100</v>
      </c>
      <c r="C27" s="1">
        <v>4</v>
      </c>
      <c r="D27" s="1">
        <v>36</v>
      </c>
      <c r="E27" s="3">
        <v>0.3115</v>
      </c>
      <c r="F27" s="3">
        <v>-1.4999999999999999E-2</v>
      </c>
      <c r="G27" s="3">
        <v>0.57079553479949596</v>
      </c>
      <c r="H27" s="3">
        <f t="shared" si="0"/>
        <v>0.28909851159983202</v>
      </c>
    </row>
    <row r="28" spans="1:8" x14ac:dyDescent="0.2">
      <c r="A28" s="1" t="s">
        <v>378</v>
      </c>
      <c r="B28" s="1" t="s">
        <v>101</v>
      </c>
      <c r="C28" s="1">
        <v>1</v>
      </c>
      <c r="D28" s="1">
        <v>53</v>
      </c>
      <c r="E28" s="3">
        <v>0.19850000000000001</v>
      </c>
      <c r="F28" s="3">
        <v>0.28000000000000003</v>
      </c>
      <c r="G28" s="3">
        <v>0.118162450691064</v>
      </c>
      <c r="H28" s="3">
        <f t="shared" si="0"/>
        <v>0.19888748356368799</v>
      </c>
    </row>
    <row r="29" spans="1:8" x14ac:dyDescent="0.2">
      <c r="A29" s="1" t="s">
        <v>378</v>
      </c>
      <c r="B29" s="1" t="s">
        <v>102</v>
      </c>
      <c r="C29" s="1">
        <v>2</v>
      </c>
      <c r="D29" s="1">
        <v>53</v>
      </c>
      <c r="E29" s="3">
        <v>0.108</v>
      </c>
      <c r="F29" s="3">
        <v>-0.09</v>
      </c>
      <c r="G29" s="3">
        <v>-0.18246856456001601</v>
      </c>
      <c r="H29" s="3">
        <f t="shared" si="0"/>
        <v>-5.4822854853338703E-2</v>
      </c>
    </row>
    <row r="30" spans="1:8" x14ac:dyDescent="0.2">
      <c r="A30" s="1" t="s">
        <v>378</v>
      </c>
      <c r="B30" s="1" t="s">
        <v>103</v>
      </c>
      <c r="C30" s="1">
        <v>3</v>
      </c>
      <c r="D30" s="1">
        <v>53</v>
      </c>
      <c r="E30" s="3">
        <v>-0.28299999999999997</v>
      </c>
      <c r="F30" s="3">
        <v>0.08</v>
      </c>
      <c r="G30" s="3">
        <v>-0.160699448858698</v>
      </c>
      <c r="H30" s="3">
        <f t="shared" si="0"/>
        <v>-0.12123314961956599</v>
      </c>
    </row>
    <row r="31" spans="1:8" x14ac:dyDescent="0.2">
      <c r="A31" s="1" t="s">
        <v>378</v>
      </c>
      <c r="B31" s="1" t="s">
        <v>104</v>
      </c>
      <c r="C31" s="1">
        <v>1</v>
      </c>
      <c r="D31" s="1">
        <v>53</v>
      </c>
      <c r="E31" s="3">
        <v>1.0375000000000001</v>
      </c>
      <c r="F31" s="3">
        <v>0.37</v>
      </c>
      <c r="G31" s="3">
        <v>-0.14577896986156599</v>
      </c>
      <c r="H31" s="3">
        <f t="shared" si="0"/>
        <v>0.42057367671281098</v>
      </c>
    </row>
    <row r="32" spans="1:8" x14ac:dyDescent="0.2">
      <c r="A32" s="1" t="s">
        <v>378</v>
      </c>
      <c r="B32" s="1" t="s">
        <v>105</v>
      </c>
      <c r="C32" s="1">
        <v>1</v>
      </c>
      <c r="D32" s="1">
        <v>53</v>
      </c>
      <c r="E32" s="3">
        <v>0.308</v>
      </c>
      <c r="F32" s="3">
        <v>0.02</v>
      </c>
      <c r="G32" s="3">
        <v>7.1567483246300399E-5</v>
      </c>
      <c r="H32" s="3">
        <f t="shared" si="0"/>
        <v>0.109357189161082</v>
      </c>
    </row>
    <row r="33" spans="1:8" x14ac:dyDescent="0.2">
      <c r="A33" s="1" t="s">
        <v>378</v>
      </c>
      <c r="B33" s="1" t="s">
        <v>67</v>
      </c>
      <c r="C33" s="1">
        <v>2</v>
      </c>
      <c r="D33" s="1">
        <v>68</v>
      </c>
      <c r="E33" s="3">
        <v>2.081</v>
      </c>
      <c r="F33" s="3">
        <v>0.93</v>
      </c>
      <c r="G33" s="3">
        <v>0.60782757649818997</v>
      </c>
      <c r="H33" s="3">
        <f t="shared" si="0"/>
        <v>1.20627585883273</v>
      </c>
    </row>
    <row r="34" spans="1:8" x14ac:dyDescent="0.2">
      <c r="A34" s="1" t="s">
        <v>378</v>
      </c>
      <c r="B34" s="1" t="s">
        <v>68</v>
      </c>
      <c r="C34" s="1">
        <v>3</v>
      </c>
      <c r="D34" s="1">
        <v>68</v>
      </c>
      <c r="E34" s="3">
        <v>1.6895</v>
      </c>
      <c r="F34" s="3">
        <v>0.9</v>
      </c>
      <c r="G34" s="3">
        <v>-0.56756455202897305</v>
      </c>
      <c r="H34" s="3">
        <f t="shared" si="0"/>
        <v>0.67397848265700899</v>
      </c>
    </row>
    <row r="35" spans="1:8" x14ac:dyDescent="0.2">
      <c r="A35" s="1" t="s">
        <v>378</v>
      </c>
      <c r="B35" s="1" t="s">
        <v>69</v>
      </c>
      <c r="C35" s="1">
        <v>4</v>
      </c>
      <c r="D35" s="1">
        <v>68</v>
      </c>
      <c r="E35" s="3">
        <v>1.3225</v>
      </c>
      <c r="F35" s="3">
        <v>1.3</v>
      </c>
      <c r="G35" s="3">
        <v>-0.23359102010726901</v>
      </c>
      <c r="H35" s="3">
        <f t="shared" si="0"/>
        <v>0.79630299329757703</v>
      </c>
    </row>
    <row r="36" spans="1:8" x14ac:dyDescent="0.2">
      <c r="A36" s="1" t="s">
        <v>378</v>
      </c>
      <c r="B36" s="1" t="s">
        <v>106</v>
      </c>
      <c r="C36" s="1">
        <v>1</v>
      </c>
      <c r="D36" s="1">
        <v>70</v>
      </c>
      <c r="E36" s="3">
        <v>0.86550000000000005</v>
      </c>
      <c r="F36" s="3">
        <v>1.6950000000000001</v>
      </c>
      <c r="G36" s="3">
        <v>1.0324358443419099</v>
      </c>
      <c r="H36" s="3">
        <f t="shared" si="0"/>
        <v>1.1976452814473</v>
      </c>
    </row>
    <row r="37" spans="1:8" x14ac:dyDescent="0.2">
      <c r="A37" s="1" t="s">
        <v>378</v>
      </c>
      <c r="B37" s="1" t="s">
        <v>107</v>
      </c>
      <c r="C37" s="1">
        <v>11</v>
      </c>
      <c r="D37" s="1">
        <v>70</v>
      </c>
      <c r="E37" s="3">
        <v>0.49249999999999999</v>
      </c>
      <c r="F37" s="3">
        <v>1.5</v>
      </c>
      <c r="G37" s="3">
        <v>0.70202713583906495</v>
      </c>
      <c r="H37" s="3">
        <f t="shared" si="0"/>
        <v>0.89817571194635504</v>
      </c>
    </row>
    <row r="38" spans="1:8" x14ac:dyDescent="0.2">
      <c r="A38" s="1" t="s">
        <v>378</v>
      </c>
      <c r="B38" s="1" t="s">
        <v>108</v>
      </c>
      <c r="C38" s="1">
        <v>1</v>
      </c>
      <c r="D38" s="1">
        <v>70</v>
      </c>
      <c r="E38" s="3">
        <v>1.3440000000000001</v>
      </c>
      <c r="F38" s="3">
        <v>1.85</v>
      </c>
      <c r="G38" s="3">
        <v>1.6224232713381399</v>
      </c>
      <c r="H38" s="3">
        <f t="shared" si="0"/>
        <v>1.6054744237793801</v>
      </c>
    </row>
    <row r="39" spans="1:8" x14ac:dyDescent="0.2">
      <c r="A39" s="1" t="s">
        <v>378</v>
      </c>
      <c r="B39" s="1" t="s">
        <v>109</v>
      </c>
      <c r="C39" s="1">
        <v>2</v>
      </c>
      <c r="D39" s="1">
        <v>71</v>
      </c>
      <c r="E39" s="3">
        <v>0.6</v>
      </c>
      <c r="F39" s="3">
        <v>1.25</v>
      </c>
      <c r="G39" s="3">
        <v>0.51701023181279404</v>
      </c>
      <c r="H39" s="3">
        <f t="shared" si="0"/>
        <v>0.78900341060426504</v>
      </c>
    </row>
    <row r="40" spans="1:8" x14ac:dyDescent="0.2">
      <c r="A40" s="1" t="s">
        <v>378</v>
      </c>
      <c r="B40" s="1" t="s">
        <v>110</v>
      </c>
      <c r="C40" s="1">
        <v>8</v>
      </c>
      <c r="D40" s="1">
        <v>71</v>
      </c>
      <c r="E40" s="3">
        <v>0.30599999999999999</v>
      </c>
      <c r="F40" s="3">
        <v>1</v>
      </c>
      <c r="G40" s="3">
        <v>1.1142478585243101</v>
      </c>
      <c r="H40" s="3">
        <f t="shared" si="0"/>
        <v>0.80674928617477004</v>
      </c>
    </row>
    <row r="41" spans="1:8" x14ac:dyDescent="0.2">
      <c r="A41" s="1" t="s">
        <v>378</v>
      </c>
      <c r="B41" s="1" t="s">
        <v>111</v>
      </c>
      <c r="C41" s="1">
        <v>18</v>
      </c>
      <c r="D41" s="1">
        <v>76</v>
      </c>
      <c r="E41" s="3">
        <v>2.2555000000000001</v>
      </c>
      <c r="F41" s="3">
        <v>0.48</v>
      </c>
      <c r="G41" s="3">
        <v>1.10351447264353</v>
      </c>
      <c r="H41" s="3">
        <f t="shared" si="0"/>
        <v>1.2796714908811799</v>
      </c>
    </row>
    <row r="42" spans="1:8" x14ac:dyDescent="0.2">
      <c r="A42" s="1" t="s">
        <v>378</v>
      </c>
      <c r="B42" s="1" t="s">
        <v>112</v>
      </c>
      <c r="C42" s="1">
        <v>6</v>
      </c>
      <c r="D42" s="1">
        <v>76</v>
      </c>
      <c r="E42" s="3">
        <v>1.57</v>
      </c>
      <c r="F42" s="3">
        <v>0.7</v>
      </c>
      <c r="G42" s="3">
        <v>1.46353271603584</v>
      </c>
      <c r="H42" s="3">
        <f t="shared" si="0"/>
        <v>1.2445109053452801</v>
      </c>
    </row>
    <row r="43" spans="1:8" x14ac:dyDescent="0.2">
      <c r="A43" s="1" t="s">
        <v>378</v>
      </c>
      <c r="B43" s="1" t="s">
        <v>113</v>
      </c>
      <c r="C43" s="1">
        <v>1</v>
      </c>
      <c r="D43" s="1">
        <v>88</v>
      </c>
      <c r="E43" s="3">
        <v>0.17549999999999999</v>
      </c>
      <c r="F43" s="3">
        <v>1.07</v>
      </c>
      <c r="G43" s="3">
        <v>8.4489477487901504E-2</v>
      </c>
      <c r="H43" s="3">
        <f t="shared" si="0"/>
        <v>0.44332982582930103</v>
      </c>
    </row>
    <row r="44" spans="1:8" x14ac:dyDescent="0.2">
      <c r="A44" s="1" t="s">
        <v>378</v>
      </c>
      <c r="B44" s="1" t="s">
        <v>114</v>
      </c>
      <c r="C44" s="1">
        <v>4</v>
      </c>
      <c r="D44" s="1">
        <v>88</v>
      </c>
      <c r="E44" s="3">
        <v>0.11899999999999999</v>
      </c>
      <c r="F44" s="3">
        <v>0.78</v>
      </c>
      <c r="G44" s="3">
        <v>-0.25175386418898799</v>
      </c>
      <c r="H44" s="3">
        <f t="shared" si="0"/>
        <v>0.21574871193700401</v>
      </c>
    </row>
    <row r="45" spans="1:8" x14ac:dyDescent="0.2">
      <c r="A45" s="1" t="s">
        <v>378</v>
      </c>
      <c r="B45" s="1" t="s">
        <v>115</v>
      </c>
      <c r="C45" s="1">
        <v>1</v>
      </c>
      <c r="D45" s="1">
        <v>88</v>
      </c>
      <c r="E45" s="3">
        <v>0.374</v>
      </c>
      <c r="F45" s="3">
        <v>1.31</v>
      </c>
      <c r="G45" s="3">
        <v>-3.1284776826699598E-2</v>
      </c>
      <c r="H45" s="3">
        <f t="shared" si="0"/>
        <v>0.55090507439110004</v>
      </c>
    </row>
    <row r="46" spans="1:8" x14ac:dyDescent="0.2">
      <c r="A46" s="1" t="s">
        <v>378</v>
      </c>
      <c r="B46" s="1" t="s">
        <v>116</v>
      </c>
      <c r="C46" s="1">
        <v>2</v>
      </c>
      <c r="D46" s="1">
        <v>88</v>
      </c>
      <c r="E46" s="3">
        <v>0.2185</v>
      </c>
      <c r="F46" s="3">
        <v>1.03</v>
      </c>
      <c r="G46" s="3">
        <v>3.9317982271313598E-2</v>
      </c>
      <c r="H46" s="3">
        <f t="shared" si="0"/>
        <v>0.42927266075710502</v>
      </c>
    </row>
    <row r="47" spans="1:8" x14ac:dyDescent="0.2">
      <c r="A47" s="1" t="s">
        <v>378</v>
      </c>
      <c r="B47" s="1" t="s">
        <v>117</v>
      </c>
      <c r="C47" s="1">
        <v>6</v>
      </c>
      <c r="D47" s="1">
        <v>93</v>
      </c>
      <c r="E47" s="3">
        <v>0.85050000000000003</v>
      </c>
      <c r="F47" s="3">
        <v>0.57499999999999996</v>
      </c>
      <c r="G47" s="3">
        <v>0.21137254436810801</v>
      </c>
      <c r="H47" s="3">
        <f t="shared" si="0"/>
        <v>0.54562418145603597</v>
      </c>
    </row>
    <row r="48" spans="1:8" x14ac:dyDescent="0.2">
      <c r="A48" s="1" t="s">
        <v>378</v>
      </c>
      <c r="B48" s="1" t="s">
        <v>118</v>
      </c>
      <c r="C48" s="1">
        <v>1</v>
      </c>
      <c r="D48" s="1">
        <v>93</v>
      </c>
      <c r="E48" s="3">
        <v>2.5779999999999998</v>
      </c>
      <c r="F48" s="3">
        <v>0.57499999999999996</v>
      </c>
      <c r="G48" s="3">
        <v>0.87200621763865005</v>
      </c>
      <c r="H48" s="3">
        <f t="shared" si="0"/>
        <v>1.3416687392128801</v>
      </c>
    </row>
    <row r="49" spans="1:8" x14ac:dyDescent="0.2">
      <c r="A49" s="1" t="s">
        <v>378</v>
      </c>
      <c r="B49" s="1" t="s">
        <v>119</v>
      </c>
      <c r="C49" s="1">
        <v>1</v>
      </c>
      <c r="D49" s="1">
        <v>93</v>
      </c>
      <c r="E49" s="3">
        <v>1.6425000000000001</v>
      </c>
      <c r="F49" s="3">
        <v>1.0149999999999999</v>
      </c>
      <c r="G49" s="3">
        <v>0.60679744184017104</v>
      </c>
      <c r="H49" s="3">
        <f t="shared" si="0"/>
        <v>1.0880991472800601</v>
      </c>
    </row>
    <row r="50" spans="1:8" x14ac:dyDescent="0.2">
      <c r="A50" s="1" t="s">
        <v>378</v>
      </c>
      <c r="B50" s="1" t="s">
        <v>120</v>
      </c>
      <c r="C50" s="1">
        <v>1</v>
      </c>
      <c r="D50" s="1">
        <v>104</v>
      </c>
      <c r="E50" s="3">
        <v>0.46750000000000003</v>
      </c>
      <c r="F50" s="3">
        <v>-0.03</v>
      </c>
      <c r="G50" s="3">
        <v>0.39388138304154102</v>
      </c>
      <c r="H50" s="3">
        <f t="shared" si="0"/>
        <v>0.27712712768051401</v>
      </c>
    </row>
    <row r="51" spans="1:8" x14ac:dyDescent="0.2">
      <c r="A51" s="1" t="s">
        <v>378</v>
      </c>
      <c r="B51" s="1" t="s">
        <v>121</v>
      </c>
      <c r="C51" s="1">
        <v>3</v>
      </c>
      <c r="D51" s="1">
        <v>104</v>
      </c>
      <c r="E51" s="3">
        <v>0.113</v>
      </c>
      <c r="F51" s="3">
        <v>0.15</v>
      </c>
      <c r="G51" s="3">
        <v>0.38137068351109799</v>
      </c>
      <c r="H51" s="3">
        <f t="shared" si="0"/>
        <v>0.214790227837033</v>
      </c>
    </row>
    <row r="52" spans="1:8" x14ac:dyDescent="0.2">
      <c r="A52" s="1" t="s">
        <v>378</v>
      </c>
      <c r="B52" s="1" t="s">
        <v>122</v>
      </c>
      <c r="C52" s="1">
        <v>4</v>
      </c>
      <c r="D52" s="1">
        <v>104</v>
      </c>
      <c r="E52" s="3">
        <v>0.16300000000000001</v>
      </c>
      <c r="F52" s="3">
        <v>0.13</v>
      </c>
      <c r="G52" s="3">
        <v>-0.14972697322567199</v>
      </c>
      <c r="H52" s="3">
        <f t="shared" si="0"/>
        <v>4.77576755914427E-2</v>
      </c>
    </row>
    <row r="53" spans="1:8" x14ac:dyDescent="0.2">
      <c r="A53" s="1" t="s">
        <v>378</v>
      </c>
      <c r="B53" s="1" t="s">
        <v>123</v>
      </c>
      <c r="C53" s="1">
        <v>1</v>
      </c>
      <c r="D53" s="1">
        <v>113</v>
      </c>
      <c r="E53" s="3">
        <v>0.41249999999999998</v>
      </c>
      <c r="F53" s="3">
        <v>1.0249999999999999</v>
      </c>
      <c r="G53" s="3">
        <v>0.45241180062294001</v>
      </c>
      <c r="H53" s="3">
        <f t="shared" si="0"/>
        <v>0.62997060020764695</v>
      </c>
    </row>
    <row r="54" spans="1:8" x14ac:dyDescent="0.2">
      <c r="A54" s="1" t="s">
        <v>378</v>
      </c>
      <c r="B54" s="1" t="s">
        <v>124</v>
      </c>
      <c r="C54" s="1">
        <v>11</v>
      </c>
      <c r="D54" s="1">
        <v>113</v>
      </c>
      <c r="E54" s="3">
        <v>-0.153</v>
      </c>
      <c r="F54" s="3">
        <v>1.075</v>
      </c>
      <c r="G54" s="3">
        <v>2.1189851375917602E-2</v>
      </c>
      <c r="H54" s="3">
        <f t="shared" si="0"/>
        <v>0.31439661712530598</v>
      </c>
    </row>
    <row r="55" spans="1:8" x14ac:dyDescent="0.2">
      <c r="A55" s="1" t="s">
        <v>378</v>
      </c>
      <c r="B55" s="1" t="s">
        <v>125</v>
      </c>
      <c r="C55" s="1">
        <v>9</v>
      </c>
      <c r="D55" s="1">
        <v>113</v>
      </c>
      <c r="E55" s="3">
        <v>0.20050000000000001</v>
      </c>
      <c r="F55" s="3">
        <v>1.41</v>
      </c>
      <c r="G55" s="3">
        <v>0.43135088930527299</v>
      </c>
      <c r="H55" s="3">
        <f t="shared" si="0"/>
        <v>0.68061696310175801</v>
      </c>
    </row>
    <row r="56" spans="1:8" x14ac:dyDescent="0.2">
      <c r="A56" s="1" t="s">
        <v>379</v>
      </c>
      <c r="B56" s="1" t="s">
        <v>8</v>
      </c>
      <c r="C56" s="1">
        <v>5</v>
      </c>
      <c r="D56" s="1">
        <v>40</v>
      </c>
      <c r="E56" s="3">
        <v>8.6499999999999994E-2</v>
      </c>
      <c r="F56" s="3">
        <v>0.505</v>
      </c>
      <c r="G56" s="3">
        <v>2.4652199198802301E-2</v>
      </c>
      <c r="H56" s="3">
        <f t="shared" si="0"/>
        <v>0.205384066399601</v>
      </c>
    </row>
    <row r="57" spans="1:8" x14ac:dyDescent="0.2">
      <c r="A57" s="1" t="s">
        <v>379</v>
      </c>
      <c r="B57" s="1" t="s">
        <v>10</v>
      </c>
      <c r="C57" s="1">
        <v>2</v>
      </c>
      <c r="D57" s="1">
        <v>40</v>
      </c>
      <c r="E57" s="3">
        <v>0.22600000000000001</v>
      </c>
      <c r="F57" s="3">
        <v>0.86499999999999999</v>
      </c>
      <c r="G57" s="3">
        <v>0.124110188645621</v>
      </c>
      <c r="H57" s="3">
        <f t="shared" si="0"/>
        <v>0.40503672954853998</v>
      </c>
    </row>
    <row r="58" spans="1:8" x14ac:dyDescent="0.2">
      <c r="A58" s="1" t="s">
        <v>379</v>
      </c>
      <c r="B58" s="1" t="s">
        <v>11</v>
      </c>
      <c r="C58" s="1">
        <v>1</v>
      </c>
      <c r="D58" s="1">
        <v>40</v>
      </c>
      <c r="E58" s="3">
        <v>8.7999999999999995E-2</v>
      </c>
      <c r="F58" s="3">
        <v>0.44500000000000001</v>
      </c>
      <c r="G58" s="3">
        <v>4.6200553886592402E-2</v>
      </c>
      <c r="H58" s="3">
        <f t="shared" si="0"/>
        <v>0.193066851295531</v>
      </c>
    </row>
    <row r="59" spans="1:8" x14ac:dyDescent="0.2">
      <c r="A59" s="1" t="s">
        <v>379</v>
      </c>
      <c r="B59" s="1" t="s">
        <v>12</v>
      </c>
      <c r="C59" s="1">
        <v>5</v>
      </c>
      <c r="D59" s="1">
        <v>50</v>
      </c>
      <c r="E59" s="3">
        <v>0.70150000000000001</v>
      </c>
      <c r="F59" s="3">
        <v>0.94</v>
      </c>
      <c r="G59" s="3">
        <v>-3.8002082457145002E-2</v>
      </c>
      <c r="H59" s="3">
        <f t="shared" si="0"/>
        <v>0.53449930584761796</v>
      </c>
    </row>
    <row r="60" spans="1:8" x14ac:dyDescent="0.2">
      <c r="A60" s="1" t="s">
        <v>379</v>
      </c>
      <c r="B60" s="1" t="s">
        <v>13</v>
      </c>
      <c r="C60" s="1">
        <v>1</v>
      </c>
      <c r="D60" s="1">
        <v>50</v>
      </c>
      <c r="E60" s="3">
        <v>2.2054999999999998</v>
      </c>
      <c r="F60" s="3">
        <v>0.89</v>
      </c>
      <c r="G60" s="3">
        <v>0.95155775547027299</v>
      </c>
      <c r="H60" s="3">
        <f t="shared" si="0"/>
        <v>1.3490192518234201</v>
      </c>
    </row>
    <row r="61" spans="1:8" x14ac:dyDescent="0.2">
      <c r="A61" s="1" t="s">
        <v>379</v>
      </c>
      <c r="B61" s="1" t="s">
        <v>14</v>
      </c>
      <c r="C61" s="1">
        <v>3</v>
      </c>
      <c r="D61" s="1">
        <v>50</v>
      </c>
      <c r="E61" s="3">
        <v>2.5059999999999998</v>
      </c>
      <c r="F61" s="3">
        <v>0.93</v>
      </c>
      <c r="G61" s="3">
        <v>0.117771177242199</v>
      </c>
      <c r="H61" s="3">
        <f t="shared" si="0"/>
        <v>1.1845903924140699</v>
      </c>
    </row>
    <row r="62" spans="1:8" x14ac:dyDescent="0.2">
      <c r="A62" s="1" t="s">
        <v>379</v>
      </c>
      <c r="B62" s="1" t="s">
        <v>15</v>
      </c>
      <c r="C62" s="1">
        <v>4</v>
      </c>
      <c r="D62" s="1">
        <v>50</v>
      </c>
      <c r="E62" s="3">
        <v>1.915</v>
      </c>
      <c r="F62" s="3">
        <v>1.06</v>
      </c>
      <c r="G62" s="3">
        <v>0.64387642343839002</v>
      </c>
      <c r="H62" s="3">
        <f t="shared" si="0"/>
        <v>1.20629214114613</v>
      </c>
    </row>
    <row r="63" spans="1:8" x14ac:dyDescent="0.2">
      <c r="A63" s="1" t="s">
        <v>379</v>
      </c>
      <c r="B63" s="1" t="s">
        <v>16</v>
      </c>
      <c r="C63" s="1">
        <v>2</v>
      </c>
      <c r="D63" s="1">
        <v>52</v>
      </c>
      <c r="E63" s="3">
        <v>0.1265</v>
      </c>
      <c r="F63" s="3">
        <v>0.85</v>
      </c>
      <c r="G63" s="3">
        <v>-8.2702497020363697E-2</v>
      </c>
      <c r="H63" s="3">
        <f t="shared" si="0"/>
        <v>0.297932500993212</v>
      </c>
    </row>
    <row r="64" spans="1:8" x14ac:dyDescent="0.2">
      <c r="A64" s="1" t="s">
        <v>379</v>
      </c>
      <c r="B64" s="1" t="s">
        <v>17</v>
      </c>
      <c r="C64" s="1">
        <v>4</v>
      </c>
      <c r="D64" s="1">
        <v>52</v>
      </c>
      <c r="E64" s="3">
        <v>0.19700000000000001</v>
      </c>
      <c r="F64" s="3">
        <v>0.87</v>
      </c>
      <c r="G64" s="3">
        <v>0.169869040449459</v>
      </c>
      <c r="H64" s="3">
        <f t="shared" si="0"/>
        <v>0.41228968014981998</v>
      </c>
    </row>
    <row r="65" spans="1:8" x14ac:dyDescent="0.2">
      <c r="A65" s="1" t="s">
        <v>379</v>
      </c>
      <c r="B65" s="1" t="s">
        <v>18</v>
      </c>
      <c r="C65" s="1">
        <v>1</v>
      </c>
      <c r="D65" s="1">
        <v>52</v>
      </c>
      <c r="E65" s="3">
        <v>0.1075</v>
      </c>
      <c r="F65" s="3">
        <v>0.69</v>
      </c>
      <c r="G65" s="3">
        <v>-0.15148074552416699</v>
      </c>
      <c r="H65" s="3">
        <f t="shared" si="0"/>
        <v>0.21533975149194401</v>
      </c>
    </row>
    <row r="66" spans="1:8" x14ac:dyDescent="0.2">
      <c r="A66" s="1" t="s">
        <v>379</v>
      </c>
      <c r="B66" s="1" t="s">
        <v>19</v>
      </c>
      <c r="C66" s="1">
        <v>1</v>
      </c>
      <c r="D66" s="1">
        <v>52</v>
      </c>
      <c r="E66" s="3">
        <v>0.54549999999999998</v>
      </c>
      <c r="F66" s="3">
        <v>2.56</v>
      </c>
      <c r="G66" s="3">
        <v>1.7059843987226399E-2</v>
      </c>
      <c r="H66" s="3">
        <f t="shared" si="0"/>
        <v>1.0408532813290801</v>
      </c>
    </row>
    <row r="67" spans="1:8" x14ac:dyDescent="0.2">
      <c r="A67" s="1" t="s">
        <v>379</v>
      </c>
      <c r="B67" s="1" t="s">
        <v>20</v>
      </c>
      <c r="C67" s="1">
        <v>1</v>
      </c>
      <c r="D67" s="1">
        <v>72</v>
      </c>
      <c r="E67" s="3">
        <v>0.17599999999999999</v>
      </c>
      <c r="F67" s="3">
        <v>0.51</v>
      </c>
      <c r="G67" s="3">
        <v>0.30514194567998199</v>
      </c>
      <c r="H67" s="3">
        <f t="shared" si="0"/>
        <v>0.33038064855999399</v>
      </c>
    </row>
    <row r="68" spans="1:8" x14ac:dyDescent="0.2">
      <c r="A68" s="1" t="s">
        <v>379</v>
      </c>
      <c r="B68" s="1" t="s">
        <v>21</v>
      </c>
      <c r="C68" s="1">
        <v>1</v>
      </c>
      <c r="D68" s="1">
        <v>72</v>
      </c>
      <c r="E68" s="3">
        <v>0.16700000000000001</v>
      </c>
      <c r="F68" s="3">
        <v>0.59499999999999997</v>
      </c>
      <c r="G68" s="3">
        <v>0.11160185188055</v>
      </c>
      <c r="H68" s="3">
        <f t="shared" si="0"/>
        <v>0.29120061729351698</v>
      </c>
    </row>
    <row r="69" spans="1:8" x14ac:dyDescent="0.2">
      <c r="A69" s="1" t="s">
        <v>379</v>
      </c>
      <c r="B69" s="1" t="s">
        <v>22</v>
      </c>
      <c r="C69" s="1">
        <v>1</v>
      </c>
      <c r="D69" s="1">
        <v>72</v>
      </c>
      <c r="E69" s="3">
        <v>0.17150000000000001</v>
      </c>
      <c r="F69" s="3">
        <v>0.86499999999999999</v>
      </c>
      <c r="G69" s="3">
        <v>0.149534558256467</v>
      </c>
      <c r="H69" s="3">
        <f t="shared" ref="H69:H115" si="1">AVERAGE(E69:G69)</f>
        <v>0.39534485275215597</v>
      </c>
    </row>
    <row r="70" spans="1:8" x14ac:dyDescent="0.2">
      <c r="A70" s="1" t="s">
        <v>379</v>
      </c>
      <c r="B70" s="1" t="s">
        <v>23</v>
      </c>
      <c r="C70" s="1">
        <v>2</v>
      </c>
      <c r="D70" s="1">
        <v>72</v>
      </c>
      <c r="E70" s="3">
        <v>0.625</v>
      </c>
      <c r="F70" s="3">
        <v>2.31</v>
      </c>
      <c r="G70" s="3">
        <v>-2.08684566120306E-2</v>
      </c>
      <c r="H70" s="3">
        <f t="shared" si="1"/>
        <v>0.97137718112932303</v>
      </c>
    </row>
    <row r="71" spans="1:8" x14ac:dyDescent="0.2">
      <c r="A71" s="1" t="s">
        <v>379</v>
      </c>
      <c r="B71" s="1" t="s">
        <v>24</v>
      </c>
      <c r="C71" s="1">
        <v>3</v>
      </c>
      <c r="D71" s="1">
        <v>72</v>
      </c>
      <c r="E71" s="3">
        <v>0.19350000000000001</v>
      </c>
      <c r="F71" s="3">
        <v>0.71</v>
      </c>
      <c r="G71" s="3">
        <v>0.19573034097750899</v>
      </c>
      <c r="H71" s="3">
        <f t="shared" si="1"/>
        <v>0.36641011365916998</v>
      </c>
    </row>
    <row r="72" spans="1:8" x14ac:dyDescent="0.2">
      <c r="A72" s="1" t="s">
        <v>379</v>
      </c>
      <c r="B72" s="1" t="s">
        <v>25</v>
      </c>
      <c r="C72" s="1">
        <v>1</v>
      </c>
      <c r="D72" s="1">
        <v>73</v>
      </c>
      <c r="E72" s="3">
        <v>0.316</v>
      </c>
      <c r="F72" s="3">
        <v>0.56000000000000005</v>
      </c>
      <c r="G72" s="3">
        <v>-3.6960596839586898E-2</v>
      </c>
      <c r="H72" s="3">
        <f t="shared" si="1"/>
        <v>0.27967980105347101</v>
      </c>
    </row>
    <row r="73" spans="1:8" x14ac:dyDescent="0.2">
      <c r="A73" s="1" t="s">
        <v>379</v>
      </c>
      <c r="B73" s="1" t="s">
        <v>26</v>
      </c>
      <c r="C73" s="1">
        <v>9</v>
      </c>
      <c r="D73" s="1">
        <v>73</v>
      </c>
      <c r="E73" s="3">
        <v>0.52800000000000002</v>
      </c>
      <c r="F73" s="3">
        <v>0.54</v>
      </c>
      <c r="G73" s="3">
        <v>5.6683933983245997E-2</v>
      </c>
      <c r="H73" s="3">
        <f t="shared" si="1"/>
        <v>0.37489464466108202</v>
      </c>
    </row>
    <row r="74" spans="1:8" x14ac:dyDescent="0.2">
      <c r="A74" s="1" t="s">
        <v>379</v>
      </c>
      <c r="B74" s="1" t="s">
        <v>27</v>
      </c>
      <c r="C74" s="1">
        <v>6</v>
      </c>
      <c r="D74" s="1">
        <v>73</v>
      </c>
      <c r="E74" s="3">
        <v>0.51449999999999996</v>
      </c>
      <c r="F74" s="3">
        <v>0.71499999999999997</v>
      </c>
      <c r="G74" s="3">
        <v>0.47626491636037799</v>
      </c>
      <c r="H74" s="3">
        <f t="shared" si="1"/>
        <v>0.56858830545345895</v>
      </c>
    </row>
    <row r="75" spans="1:8" x14ac:dyDescent="0.2">
      <c r="A75" s="1" t="s">
        <v>379</v>
      </c>
      <c r="B75" s="1" t="s">
        <v>28</v>
      </c>
      <c r="C75" s="1">
        <v>2</v>
      </c>
      <c r="D75" s="1">
        <v>77</v>
      </c>
      <c r="E75" s="3">
        <v>7.85E-2</v>
      </c>
      <c r="F75" s="3">
        <v>0.91</v>
      </c>
      <c r="G75" s="3">
        <v>1.0661981999874099E-2</v>
      </c>
      <c r="H75" s="3">
        <f t="shared" si="1"/>
        <v>0.333053993999958</v>
      </c>
    </row>
    <row r="76" spans="1:8" x14ac:dyDescent="0.2">
      <c r="A76" s="1" t="s">
        <v>379</v>
      </c>
      <c r="B76" s="1" t="s">
        <v>29</v>
      </c>
      <c r="C76" s="1">
        <v>2</v>
      </c>
      <c r="D76" s="1">
        <v>77</v>
      </c>
      <c r="E76" s="3">
        <v>0.1135</v>
      </c>
      <c r="F76" s="3">
        <v>0.64</v>
      </c>
      <c r="G76" s="3">
        <v>0.222202820082505</v>
      </c>
      <c r="H76" s="3">
        <f t="shared" si="1"/>
        <v>0.32523427336083499</v>
      </c>
    </row>
    <row r="77" spans="1:8" x14ac:dyDescent="0.2">
      <c r="A77" s="1" t="s">
        <v>379</v>
      </c>
      <c r="B77" s="1" t="s">
        <v>30</v>
      </c>
      <c r="C77" s="1">
        <v>3</v>
      </c>
      <c r="D77" s="1">
        <v>77</v>
      </c>
      <c r="E77" s="3">
        <v>8.5000000000000006E-2</v>
      </c>
      <c r="F77" s="3">
        <v>1.105</v>
      </c>
      <c r="G77" s="3">
        <v>5.4291456937789903E-2</v>
      </c>
      <c r="H77" s="3">
        <f t="shared" si="1"/>
        <v>0.41476381897926301</v>
      </c>
    </row>
    <row r="78" spans="1:8" x14ac:dyDescent="0.2">
      <c r="A78" s="1" t="s">
        <v>379</v>
      </c>
      <c r="B78" s="1" t="s">
        <v>31</v>
      </c>
      <c r="C78" s="1">
        <v>1</v>
      </c>
      <c r="D78" s="1">
        <v>77</v>
      </c>
      <c r="E78" s="3">
        <v>0.21049999999999999</v>
      </c>
      <c r="F78" s="3">
        <v>0.37</v>
      </c>
      <c r="G78" s="3">
        <v>0.13627968976895</v>
      </c>
      <c r="H78" s="3">
        <f t="shared" si="1"/>
        <v>0.238926563256317</v>
      </c>
    </row>
    <row r="79" spans="1:8" x14ac:dyDescent="0.2">
      <c r="A79" s="1" t="s">
        <v>379</v>
      </c>
      <c r="B79" s="1" t="s">
        <v>32</v>
      </c>
      <c r="C79" s="1">
        <v>1</v>
      </c>
      <c r="D79" s="1">
        <v>81</v>
      </c>
      <c r="E79" s="3">
        <v>0.06</v>
      </c>
      <c r="F79" s="3">
        <v>0.67</v>
      </c>
      <c r="G79" s="3">
        <v>6.6554635763168293E-2</v>
      </c>
      <c r="H79" s="3">
        <f t="shared" si="1"/>
        <v>0.26551821192105601</v>
      </c>
    </row>
    <row r="80" spans="1:8" x14ac:dyDescent="0.2">
      <c r="A80" s="1" t="s">
        <v>379</v>
      </c>
      <c r="B80" s="1" t="s">
        <v>33</v>
      </c>
      <c r="C80" s="1">
        <v>3</v>
      </c>
      <c r="D80" s="1">
        <v>81</v>
      </c>
      <c r="E80" s="3">
        <v>6.6000000000000003E-2</v>
      </c>
      <c r="F80" s="3">
        <v>0.61</v>
      </c>
      <c r="G80" s="3">
        <v>0.12928568199276899</v>
      </c>
      <c r="H80" s="3">
        <f t="shared" si="1"/>
        <v>0.26842856066425602</v>
      </c>
    </row>
    <row r="81" spans="1:8" x14ac:dyDescent="0.2">
      <c r="A81" s="1" t="s">
        <v>379</v>
      </c>
      <c r="B81" s="1" t="s">
        <v>34</v>
      </c>
      <c r="C81" s="1">
        <v>10</v>
      </c>
      <c r="D81" s="1">
        <v>81</v>
      </c>
      <c r="E81" s="3">
        <v>7.0000000000000007E-2</v>
      </c>
      <c r="F81" s="3">
        <v>0.97</v>
      </c>
      <c r="G81" s="3">
        <v>8.5757240653037803E-2</v>
      </c>
      <c r="H81" s="3">
        <f t="shared" si="1"/>
        <v>0.37525241355101302</v>
      </c>
    </row>
    <row r="82" spans="1:8" x14ac:dyDescent="0.2">
      <c r="A82" s="1" t="s">
        <v>379</v>
      </c>
      <c r="B82" s="1" t="s">
        <v>35</v>
      </c>
      <c r="C82" s="1">
        <v>1</v>
      </c>
      <c r="D82" s="1">
        <v>81</v>
      </c>
      <c r="E82" s="3">
        <v>0.123</v>
      </c>
      <c r="F82" s="3">
        <v>0.42</v>
      </c>
      <c r="G82" s="3">
        <v>0.110262658447027</v>
      </c>
      <c r="H82" s="3">
        <f t="shared" si="1"/>
        <v>0.217754219482342</v>
      </c>
    </row>
    <row r="83" spans="1:8" x14ac:dyDescent="0.2">
      <c r="A83" s="1" t="s">
        <v>379</v>
      </c>
      <c r="B83" s="1" t="s">
        <v>36</v>
      </c>
      <c r="C83" s="1">
        <v>6</v>
      </c>
      <c r="D83" s="1">
        <v>83</v>
      </c>
      <c r="E83" s="3">
        <v>0.14899999999999999</v>
      </c>
      <c r="F83" s="3">
        <v>1.07</v>
      </c>
      <c r="G83" s="3">
        <v>0.13066549599170599</v>
      </c>
      <c r="H83" s="3">
        <f t="shared" si="1"/>
        <v>0.44988849866390201</v>
      </c>
    </row>
    <row r="84" spans="1:8" x14ac:dyDescent="0.2">
      <c r="A84" s="1" t="s">
        <v>379</v>
      </c>
      <c r="B84" s="1" t="s">
        <v>37</v>
      </c>
      <c r="C84" s="1">
        <v>2</v>
      </c>
      <c r="D84" s="1">
        <v>83</v>
      </c>
      <c r="E84" s="3">
        <v>0.1535</v>
      </c>
      <c r="F84" s="3">
        <v>1.095</v>
      </c>
      <c r="G84" s="3">
        <v>0.23080326616764099</v>
      </c>
      <c r="H84" s="3">
        <f t="shared" si="1"/>
        <v>0.49310108872254699</v>
      </c>
    </row>
    <row r="85" spans="1:8" x14ac:dyDescent="0.2">
      <c r="A85" s="1" t="s">
        <v>379</v>
      </c>
      <c r="B85" s="1" t="s">
        <v>38</v>
      </c>
      <c r="C85" s="1">
        <v>19</v>
      </c>
      <c r="D85" s="1">
        <v>97</v>
      </c>
      <c r="E85" s="3">
        <v>1.9535</v>
      </c>
      <c r="F85" s="3">
        <v>0.875</v>
      </c>
      <c r="G85" s="3">
        <v>1.3387149348855001</v>
      </c>
      <c r="H85" s="3">
        <f t="shared" si="1"/>
        <v>1.3890716449618301</v>
      </c>
    </row>
    <row r="86" spans="1:8" x14ac:dyDescent="0.2">
      <c r="A86" s="1" t="s">
        <v>379</v>
      </c>
      <c r="B86" s="1" t="s">
        <v>39</v>
      </c>
      <c r="C86" s="1">
        <v>6</v>
      </c>
      <c r="D86" s="1">
        <v>97</v>
      </c>
      <c r="E86" s="3">
        <v>1.4079999999999999</v>
      </c>
      <c r="F86" s="3">
        <v>1.2</v>
      </c>
      <c r="G86" s="3">
        <v>0.93706699212392097</v>
      </c>
      <c r="H86" s="3">
        <f t="shared" si="1"/>
        <v>1.1816889973746401</v>
      </c>
    </row>
    <row r="87" spans="1:8" x14ac:dyDescent="0.2">
      <c r="A87" s="1" t="s">
        <v>379</v>
      </c>
      <c r="B87" s="1" t="s">
        <v>40</v>
      </c>
      <c r="C87" s="1">
        <v>3</v>
      </c>
      <c r="D87" s="1">
        <v>105</v>
      </c>
      <c r="E87" s="3">
        <v>0.52549999999999997</v>
      </c>
      <c r="F87" s="3">
        <v>0.88</v>
      </c>
      <c r="G87" s="3">
        <v>-6.6728544731934597E-2</v>
      </c>
      <c r="H87" s="3">
        <f t="shared" si="1"/>
        <v>0.44625715175602199</v>
      </c>
    </row>
    <row r="88" spans="1:8" x14ac:dyDescent="0.2">
      <c r="A88" s="1" t="s">
        <v>379</v>
      </c>
      <c r="B88" s="1" t="s">
        <v>41</v>
      </c>
      <c r="C88" s="1">
        <v>13</v>
      </c>
      <c r="D88" s="1">
        <v>105</v>
      </c>
      <c r="E88" s="3">
        <v>1.488</v>
      </c>
      <c r="F88" s="3">
        <v>0.98499999999999999</v>
      </c>
      <c r="G88" s="3">
        <v>-0.95710385839144296</v>
      </c>
      <c r="H88" s="3">
        <f t="shared" si="1"/>
        <v>0.50529871386951897</v>
      </c>
    </row>
    <row r="89" spans="1:8" x14ac:dyDescent="0.2">
      <c r="A89" s="1" t="s">
        <v>379</v>
      </c>
      <c r="B89" s="1" t="s">
        <v>42</v>
      </c>
      <c r="C89" s="1">
        <v>9</v>
      </c>
      <c r="D89" s="1">
        <v>105</v>
      </c>
      <c r="E89" s="3">
        <v>0.88749999999999996</v>
      </c>
      <c r="F89" s="3">
        <v>1.3049999999999999</v>
      </c>
      <c r="G89" s="3">
        <v>0.477830146749814</v>
      </c>
      <c r="H89" s="3">
        <f t="shared" si="1"/>
        <v>0.89011004891660495</v>
      </c>
    </row>
    <row r="90" spans="1:8" x14ac:dyDescent="0.2">
      <c r="A90" s="1" t="s">
        <v>379</v>
      </c>
      <c r="B90" s="1" t="s">
        <v>43</v>
      </c>
      <c r="C90" s="1">
        <v>1</v>
      </c>
      <c r="D90" s="1">
        <v>105</v>
      </c>
      <c r="E90" s="3">
        <v>0.79449999999999998</v>
      </c>
      <c r="F90" s="3">
        <v>0.72499999999999998</v>
      </c>
      <c r="G90" s="3">
        <v>-0.40509937206904101</v>
      </c>
      <c r="H90" s="3">
        <f t="shared" si="1"/>
        <v>0.37146687597698602</v>
      </c>
    </row>
    <row r="91" spans="1:8" x14ac:dyDescent="0.2">
      <c r="A91" s="1" t="s">
        <v>379</v>
      </c>
      <c r="B91" s="1" t="s">
        <v>44</v>
      </c>
      <c r="C91" s="1">
        <v>1</v>
      </c>
      <c r="D91" s="1">
        <v>106</v>
      </c>
      <c r="E91" s="3">
        <v>1.3594999999999999</v>
      </c>
      <c r="F91" s="3">
        <v>0.75</v>
      </c>
      <c r="G91" s="3">
        <v>0.99148611351847304</v>
      </c>
      <c r="H91" s="3">
        <f t="shared" si="1"/>
        <v>1.0336620378394901</v>
      </c>
    </row>
    <row r="92" spans="1:8" x14ac:dyDescent="0.2">
      <c r="A92" s="1" t="s">
        <v>379</v>
      </c>
      <c r="B92" s="1" t="s">
        <v>45</v>
      </c>
      <c r="C92" s="1">
        <v>5</v>
      </c>
      <c r="D92" s="1">
        <v>106</v>
      </c>
      <c r="E92" s="3">
        <v>1.1279999999999999</v>
      </c>
      <c r="F92" s="3">
        <v>0.995</v>
      </c>
      <c r="G92" s="3">
        <v>1.2156362260381299</v>
      </c>
      <c r="H92" s="3">
        <f t="shared" si="1"/>
        <v>1.11287874201271</v>
      </c>
    </row>
    <row r="93" spans="1:8" x14ac:dyDescent="0.2">
      <c r="A93" s="1" t="s">
        <v>379</v>
      </c>
      <c r="B93" s="1" t="s">
        <v>46</v>
      </c>
      <c r="C93" s="1">
        <v>3</v>
      </c>
      <c r="D93" s="1">
        <v>106</v>
      </c>
      <c r="E93" s="3">
        <v>1.4510000000000001</v>
      </c>
      <c r="F93" s="3">
        <v>0.56499999999999995</v>
      </c>
      <c r="G93" s="3">
        <v>0.47645894189675603</v>
      </c>
      <c r="H93" s="3">
        <f t="shared" si="1"/>
        <v>0.830819647298919</v>
      </c>
    </row>
    <row r="94" spans="1:8" x14ac:dyDescent="0.2">
      <c r="A94" s="1" t="s">
        <v>379</v>
      </c>
      <c r="B94" s="1" t="s">
        <v>47</v>
      </c>
      <c r="C94" s="1">
        <v>1</v>
      </c>
      <c r="D94" s="1">
        <v>127</v>
      </c>
      <c r="E94" s="3">
        <v>1.7435</v>
      </c>
      <c r="F94" s="3">
        <v>-0.09</v>
      </c>
      <c r="G94" s="3">
        <v>1.3727173805236801</v>
      </c>
      <c r="H94" s="3">
        <f t="shared" si="1"/>
        <v>1.00873912684123</v>
      </c>
    </row>
    <row r="95" spans="1:8" x14ac:dyDescent="0.2">
      <c r="A95" s="1" t="s">
        <v>379</v>
      </c>
      <c r="B95" s="1" t="s">
        <v>48</v>
      </c>
      <c r="C95" s="1">
        <v>1</v>
      </c>
      <c r="D95" s="1">
        <v>127</v>
      </c>
      <c r="E95" s="3">
        <v>0.97250000000000003</v>
      </c>
      <c r="F95" s="3">
        <v>0.5</v>
      </c>
      <c r="G95" s="3">
        <v>1.3346412479877401</v>
      </c>
      <c r="H95" s="3">
        <f t="shared" si="1"/>
        <v>0.935713749329247</v>
      </c>
    </row>
    <row r="96" spans="1:8" x14ac:dyDescent="0.2">
      <c r="A96" s="1" t="s">
        <v>379</v>
      </c>
      <c r="B96" s="1" t="s">
        <v>49</v>
      </c>
      <c r="C96" s="1">
        <v>4</v>
      </c>
      <c r="D96" s="1">
        <v>127</v>
      </c>
      <c r="E96" s="3">
        <v>2.2305000000000001</v>
      </c>
      <c r="F96" s="3">
        <v>0.42</v>
      </c>
      <c r="G96" s="3">
        <v>-0.22325236847003299</v>
      </c>
      <c r="H96" s="3">
        <f t="shared" si="1"/>
        <v>0.80908254384332201</v>
      </c>
    </row>
    <row r="97" spans="1:8" x14ac:dyDescent="0.2">
      <c r="A97" s="1" t="s">
        <v>379</v>
      </c>
      <c r="B97" s="1" t="s">
        <v>50</v>
      </c>
      <c r="C97" s="1">
        <v>1</v>
      </c>
      <c r="D97" s="1">
        <v>127</v>
      </c>
      <c r="E97" s="3">
        <v>0.58550000000000002</v>
      </c>
      <c r="F97" s="3">
        <v>0.02</v>
      </c>
      <c r="G97" s="3">
        <v>-0.42113257696231199</v>
      </c>
      <c r="H97" s="3">
        <f t="shared" si="1"/>
        <v>6.1455807679229299E-2</v>
      </c>
    </row>
    <row r="98" spans="1:8" x14ac:dyDescent="0.2">
      <c r="A98" s="1" t="s">
        <v>379</v>
      </c>
      <c r="B98" s="1" t="s">
        <v>51</v>
      </c>
      <c r="C98" s="1">
        <v>1</v>
      </c>
      <c r="D98" s="1">
        <v>127</v>
      </c>
      <c r="E98" s="3">
        <v>0.56499999999999995</v>
      </c>
      <c r="F98" s="3">
        <v>0.22</v>
      </c>
      <c r="G98" s="3">
        <v>-0.24202798803647299</v>
      </c>
      <c r="H98" s="3">
        <f t="shared" si="1"/>
        <v>0.18099067065450899</v>
      </c>
    </row>
    <row r="99" spans="1:8" x14ac:dyDescent="0.2">
      <c r="A99" s="1" t="s">
        <v>379</v>
      </c>
      <c r="B99" s="1" t="s">
        <v>52</v>
      </c>
      <c r="C99" s="1">
        <v>12</v>
      </c>
      <c r="D99" s="1">
        <v>131</v>
      </c>
      <c r="E99" s="3">
        <v>0.5645</v>
      </c>
      <c r="F99" s="3">
        <v>1.06</v>
      </c>
      <c r="G99" s="3">
        <v>1.6539496183395299</v>
      </c>
      <c r="H99" s="3">
        <f t="shared" si="1"/>
        <v>1.0928165394465099</v>
      </c>
    </row>
    <row r="100" spans="1:8" x14ac:dyDescent="0.2">
      <c r="A100" s="1" t="s">
        <v>379</v>
      </c>
      <c r="B100" s="1" t="s">
        <v>53</v>
      </c>
      <c r="C100" s="1">
        <v>2</v>
      </c>
      <c r="D100" s="1">
        <v>131</v>
      </c>
      <c r="E100" s="3">
        <v>1.53</v>
      </c>
      <c r="F100" s="3">
        <v>1.42</v>
      </c>
      <c r="G100" s="3">
        <v>2.6442081729571001</v>
      </c>
      <c r="H100" s="3">
        <f t="shared" si="1"/>
        <v>1.8647360576523699</v>
      </c>
    </row>
    <row r="101" spans="1:8" x14ac:dyDescent="0.2">
      <c r="A101" s="1" t="s">
        <v>379</v>
      </c>
      <c r="B101" s="1" t="s">
        <v>54</v>
      </c>
      <c r="C101" s="1">
        <v>1</v>
      </c>
      <c r="D101" s="1">
        <v>131</v>
      </c>
      <c r="E101" s="3">
        <v>0.58499999999999996</v>
      </c>
      <c r="F101" s="3">
        <v>1.28</v>
      </c>
      <c r="G101" s="3">
        <v>1.31953458984693</v>
      </c>
      <c r="H101" s="3">
        <f t="shared" si="1"/>
        <v>1.0615115299489799</v>
      </c>
    </row>
    <row r="102" spans="1:8" x14ac:dyDescent="0.2">
      <c r="A102" s="1" t="s">
        <v>379</v>
      </c>
      <c r="B102" s="1" t="s">
        <v>55</v>
      </c>
      <c r="C102" s="1">
        <v>2</v>
      </c>
      <c r="D102" s="1">
        <v>131</v>
      </c>
      <c r="E102" s="3">
        <v>3.01</v>
      </c>
      <c r="F102" s="3">
        <v>2.5299999999999998</v>
      </c>
      <c r="G102" s="3">
        <v>3.34168716271718</v>
      </c>
      <c r="H102" s="3">
        <f t="shared" si="1"/>
        <v>2.9605623875723901</v>
      </c>
    </row>
    <row r="103" spans="1:8" x14ac:dyDescent="0.2">
      <c r="A103" s="1" t="s">
        <v>379</v>
      </c>
      <c r="B103" s="1" t="s">
        <v>56</v>
      </c>
      <c r="C103" s="1">
        <v>1</v>
      </c>
      <c r="D103" s="1">
        <v>131</v>
      </c>
      <c r="E103" s="3">
        <v>0.70750000000000002</v>
      </c>
      <c r="F103" s="3">
        <v>1.22</v>
      </c>
      <c r="G103" s="3">
        <v>1.73311481624841</v>
      </c>
      <c r="H103" s="3">
        <f t="shared" si="1"/>
        <v>1.22020493874947</v>
      </c>
    </row>
    <row r="104" spans="1:8" x14ac:dyDescent="0.2">
      <c r="A104" s="1" t="s">
        <v>379</v>
      </c>
      <c r="B104" s="1" t="s">
        <v>57</v>
      </c>
      <c r="C104" s="1">
        <v>2</v>
      </c>
      <c r="D104" s="1">
        <v>133</v>
      </c>
      <c r="E104" s="3">
        <v>0.27450000000000002</v>
      </c>
      <c r="F104" s="3">
        <v>0.54500000000000004</v>
      </c>
      <c r="G104" s="3">
        <v>-6.6054023802280398E-2</v>
      </c>
      <c r="H104" s="3">
        <f t="shared" si="1"/>
        <v>0.25114865873257303</v>
      </c>
    </row>
    <row r="105" spans="1:8" x14ac:dyDescent="0.2">
      <c r="A105" s="1" t="s">
        <v>379</v>
      </c>
      <c r="B105" s="1" t="s">
        <v>58</v>
      </c>
      <c r="C105" s="1">
        <v>3</v>
      </c>
      <c r="D105" s="1">
        <v>133</v>
      </c>
      <c r="E105" s="3">
        <v>1.24</v>
      </c>
      <c r="F105" s="3">
        <v>0.74</v>
      </c>
      <c r="G105" s="3">
        <v>0.32260272279381702</v>
      </c>
      <c r="H105" s="3">
        <f t="shared" si="1"/>
        <v>0.76753424093127198</v>
      </c>
    </row>
    <row r="106" spans="1:8" x14ac:dyDescent="0.2">
      <c r="A106" s="1" t="s">
        <v>379</v>
      </c>
      <c r="B106" s="1" t="s">
        <v>59</v>
      </c>
      <c r="C106" s="1">
        <v>6</v>
      </c>
      <c r="D106" s="1">
        <v>133</v>
      </c>
      <c r="E106" s="3">
        <v>0.78700000000000003</v>
      </c>
      <c r="F106" s="3">
        <v>0.74</v>
      </c>
      <c r="G106" s="3">
        <v>0.70932062963644604</v>
      </c>
      <c r="H106" s="3">
        <f t="shared" si="1"/>
        <v>0.74544020987881499</v>
      </c>
    </row>
    <row r="107" spans="1:8" x14ac:dyDescent="0.2">
      <c r="A107" s="1" t="s">
        <v>379</v>
      </c>
      <c r="B107" s="1" t="s">
        <v>60</v>
      </c>
      <c r="C107" s="1">
        <v>1</v>
      </c>
      <c r="D107" s="1">
        <v>134</v>
      </c>
      <c r="E107" s="3">
        <v>0.10199999999999999</v>
      </c>
      <c r="F107" s="3">
        <v>0.83</v>
      </c>
      <c r="G107" s="3">
        <v>0.295149500171343</v>
      </c>
      <c r="H107" s="3">
        <f t="shared" si="1"/>
        <v>0.40904983339044798</v>
      </c>
    </row>
    <row r="108" spans="1:8" x14ac:dyDescent="0.2">
      <c r="A108" s="1" t="s">
        <v>379</v>
      </c>
      <c r="B108" s="1" t="s">
        <v>61</v>
      </c>
      <c r="C108" s="1">
        <v>2</v>
      </c>
      <c r="D108" s="1">
        <v>134</v>
      </c>
      <c r="E108" s="3">
        <v>8.7499999999999994E-2</v>
      </c>
      <c r="F108" s="3">
        <v>0.65</v>
      </c>
      <c r="G108" s="3">
        <v>0.25591483215490901</v>
      </c>
      <c r="H108" s="3">
        <f t="shared" si="1"/>
        <v>0.33113827738496998</v>
      </c>
    </row>
    <row r="109" spans="1:8" x14ac:dyDescent="0.2">
      <c r="A109" s="1" t="s">
        <v>379</v>
      </c>
      <c r="B109" s="1" t="s">
        <v>62</v>
      </c>
      <c r="C109" s="1">
        <v>2</v>
      </c>
      <c r="D109" s="1">
        <v>134</v>
      </c>
      <c r="E109" s="3">
        <v>0.14549999999999999</v>
      </c>
      <c r="F109" s="3">
        <v>0.8</v>
      </c>
      <c r="G109" s="3">
        <v>0.52110150953133905</v>
      </c>
      <c r="H109" s="3">
        <f t="shared" si="1"/>
        <v>0.48886716984377998</v>
      </c>
    </row>
    <row r="110" spans="1:8" x14ac:dyDescent="0.2">
      <c r="A110" s="1" t="s">
        <v>379</v>
      </c>
      <c r="B110" s="1" t="s">
        <v>63</v>
      </c>
      <c r="C110" s="1">
        <v>5</v>
      </c>
      <c r="D110" s="1">
        <v>134</v>
      </c>
      <c r="E110" s="3">
        <v>0.14399999999999999</v>
      </c>
      <c r="F110" s="3">
        <v>0.67</v>
      </c>
      <c r="G110" s="3">
        <v>0.24152166644732101</v>
      </c>
      <c r="H110" s="3">
        <f t="shared" si="1"/>
        <v>0.35184055548243998</v>
      </c>
    </row>
    <row r="111" spans="1:8" x14ac:dyDescent="0.2">
      <c r="A111" s="1" t="s">
        <v>380</v>
      </c>
      <c r="B111" s="1" t="s">
        <v>65</v>
      </c>
      <c r="C111" s="1">
        <v>1</v>
      </c>
      <c r="D111" s="1">
        <v>68</v>
      </c>
      <c r="E111" s="3">
        <v>1.0465</v>
      </c>
      <c r="F111" s="3">
        <v>0.42</v>
      </c>
      <c r="G111" s="3">
        <v>-4.6495874722798598E-2</v>
      </c>
      <c r="H111" s="3">
        <f t="shared" si="1"/>
        <v>0.473334708425734</v>
      </c>
    </row>
    <row r="112" spans="1:8" x14ac:dyDescent="0.2">
      <c r="A112" s="1" t="s">
        <v>380</v>
      </c>
      <c r="B112" s="1" t="s">
        <v>67</v>
      </c>
      <c r="C112" s="1">
        <v>1</v>
      </c>
      <c r="D112" s="1">
        <v>68</v>
      </c>
      <c r="E112" s="3">
        <v>1.7435</v>
      </c>
      <c r="F112" s="3">
        <v>0.91</v>
      </c>
      <c r="G112" s="3">
        <v>2.2382121483484898</v>
      </c>
      <c r="H112" s="3">
        <f t="shared" si="1"/>
        <v>1.63057071611616</v>
      </c>
    </row>
    <row r="113" spans="1:8" x14ac:dyDescent="0.2">
      <c r="A113" s="1" t="s">
        <v>380</v>
      </c>
      <c r="B113" s="1" t="s">
        <v>68</v>
      </c>
      <c r="C113" s="1">
        <v>3</v>
      </c>
      <c r="D113" s="1">
        <v>68</v>
      </c>
      <c r="E113" s="3">
        <v>1.7585</v>
      </c>
      <c r="F113" s="3">
        <v>0.55500000000000005</v>
      </c>
      <c r="G113" s="3">
        <v>0.70677067836125695</v>
      </c>
      <c r="H113" s="3">
        <f t="shared" si="1"/>
        <v>1.00675689278709</v>
      </c>
    </row>
    <row r="114" spans="1:8" x14ac:dyDescent="0.2">
      <c r="A114" s="1" t="s">
        <v>380</v>
      </c>
      <c r="B114" s="1" t="s">
        <v>69</v>
      </c>
      <c r="C114" s="1">
        <v>3</v>
      </c>
      <c r="D114" s="1">
        <v>68</v>
      </c>
      <c r="E114" s="3">
        <v>1.1325000000000001</v>
      </c>
      <c r="F114" s="3">
        <v>0.90500000000000003</v>
      </c>
      <c r="G114" s="3">
        <v>1.3544398347536699</v>
      </c>
      <c r="H114" s="3">
        <f t="shared" si="1"/>
        <v>1.1306466115845599</v>
      </c>
    </row>
    <row r="115" spans="1:8" x14ac:dyDescent="0.2">
      <c r="A115" s="1" t="s">
        <v>380</v>
      </c>
      <c r="B115" s="1" t="s">
        <v>70</v>
      </c>
      <c r="C115" s="1">
        <v>3</v>
      </c>
      <c r="D115" s="1">
        <v>68</v>
      </c>
      <c r="E115" s="3">
        <v>1.254</v>
      </c>
      <c r="F115" s="3">
        <v>0.32</v>
      </c>
      <c r="G115" s="3">
        <v>6.4291675885518207E-2</v>
      </c>
      <c r="H115" s="3">
        <f t="shared" si="1"/>
        <v>0.54609722529517302</v>
      </c>
    </row>
  </sheetData>
  <autoFilter ref="A1:H115" xr:uid="{00000000-0009-0000-0000-000003000000}"/>
  <phoneticPr fontId="6" type="noConversion"/>
  <pageMargins left="0.75" right="0.75" top="1" bottom="1" header="0.5" footer="0.5"/>
  <ignoredErrors>
    <ignoredError sqref="H2:H11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3"/>
  <sheetViews>
    <sheetView workbookViewId="0">
      <selection activeCell="J30" sqref="J30"/>
    </sheetView>
  </sheetViews>
  <sheetFormatPr defaultColWidth="9" defaultRowHeight="18.75" x14ac:dyDescent="0.2"/>
  <cols>
    <col min="1" max="1" width="8" style="1" customWidth="1"/>
    <col min="2" max="2" width="11.875" style="1" customWidth="1"/>
    <col min="3" max="3" width="17.5" style="2" customWidth="1"/>
    <col min="4" max="4" width="8" style="1" customWidth="1"/>
    <col min="5" max="5" width="11.875" style="1" customWidth="1"/>
    <col min="6" max="6" width="17.5" style="2" customWidth="1"/>
    <col min="7" max="7" width="16.125" style="3" customWidth="1"/>
    <col min="8" max="8" width="10.5" style="3" customWidth="1"/>
  </cols>
  <sheetData>
    <row r="1" spans="1:8" x14ac:dyDescent="0.2">
      <c r="A1" s="1" t="s">
        <v>0</v>
      </c>
      <c r="B1" s="1" t="s">
        <v>2</v>
      </c>
      <c r="C1" s="2" t="s">
        <v>381</v>
      </c>
      <c r="D1" s="1" t="s">
        <v>0</v>
      </c>
      <c r="E1" s="1" t="s">
        <v>2</v>
      </c>
      <c r="F1" s="2" t="s">
        <v>381</v>
      </c>
      <c r="G1" s="3" t="s">
        <v>5</v>
      </c>
      <c r="H1" s="3" t="s">
        <v>382</v>
      </c>
    </row>
    <row r="2" spans="1:8" x14ac:dyDescent="0.2">
      <c r="A2" s="1" t="s">
        <v>71</v>
      </c>
      <c r="B2" s="1" t="s">
        <v>74</v>
      </c>
      <c r="C2" s="4">
        <v>4.5215543359518003E-2</v>
      </c>
      <c r="D2" s="1" t="s">
        <v>73</v>
      </c>
      <c r="E2" s="1" t="s">
        <v>74</v>
      </c>
      <c r="F2" s="4">
        <v>0.146547585725784</v>
      </c>
      <c r="G2" s="3">
        <f>AVERAGE(C2,F2)</f>
        <v>9.5881564542650996E-2</v>
      </c>
      <c r="H2" s="3">
        <f>-G2</f>
        <v>-9.5881564542650996E-2</v>
      </c>
    </row>
    <row r="3" spans="1:8" x14ac:dyDescent="0.2">
      <c r="A3" s="1" t="s">
        <v>71</v>
      </c>
      <c r="B3" s="1" t="s">
        <v>75</v>
      </c>
      <c r="C3" s="4">
        <v>-0.137728706002235</v>
      </c>
      <c r="D3" s="1" t="s">
        <v>73</v>
      </c>
      <c r="E3" s="1" t="s">
        <v>75</v>
      </c>
      <c r="F3" s="4">
        <v>-0.130295515060424</v>
      </c>
      <c r="G3" s="3">
        <f t="shared" ref="G3:G66" si="0">AVERAGE(C3,F3)</f>
        <v>-0.134012110531329</v>
      </c>
      <c r="H3" s="3">
        <f t="shared" ref="H3:H66" si="1">-G3</f>
        <v>0.134012110531329</v>
      </c>
    </row>
    <row r="4" spans="1:8" x14ac:dyDescent="0.2">
      <c r="A4" s="1" t="s">
        <v>71</v>
      </c>
      <c r="B4" s="1" t="s">
        <v>77</v>
      </c>
      <c r="C4" s="4">
        <v>-0.432094246149063</v>
      </c>
      <c r="D4" s="1" t="s">
        <v>73</v>
      </c>
      <c r="E4" s="1" t="s">
        <v>77</v>
      </c>
      <c r="F4" s="4">
        <v>-0.39611342549324002</v>
      </c>
      <c r="G4" s="3">
        <f t="shared" si="0"/>
        <v>-0.41410383582115201</v>
      </c>
      <c r="H4" s="3">
        <f t="shared" si="1"/>
        <v>0.41410383582115201</v>
      </c>
    </row>
    <row r="5" spans="1:8" x14ac:dyDescent="0.2">
      <c r="A5" s="1" t="s">
        <v>71</v>
      </c>
      <c r="B5" s="1" t="s">
        <v>76</v>
      </c>
      <c r="C5" s="4">
        <v>-0.39508318901062001</v>
      </c>
      <c r="D5" s="1" t="s">
        <v>73</v>
      </c>
      <c r="E5" s="1" t="s">
        <v>76</v>
      </c>
      <c r="F5" s="4">
        <v>-0.41968974471092202</v>
      </c>
      <c r="G5" s="3">
        <f t="shared" si="0"/>
        <v>-0.40738646686077101</v>
      </c>
      <c r="H5" s="3">
        <f t="shared" si="1"/>
        <v>0.40738646686077101</v>
      </c>
    </row>
    <row r="6" spans="1:8" x14ac:dyDescent="0.2">
      <c r="A6" s="1" t="s">
        <v>71</v>
      </c>
      <c r="B6" s="1" t="s">
        <v>72</v>
      </c>
      <c r="C6" s="4">
        <v>-0.328443974256515</v>
      </c>
      <c r="D6" s="1" t="s">
        <v>73</v>
      </c>
      <c r="E6" s="1" t="s">
        <v>72</v>
      </c>
      <c r="F6" s="4">
        <v>-0.32696774601936301</v>
      </c>
      <c r="G6" s="3">
        <f t="shared" si="0"/>
        <v>-0.32770586013793901</v>
      </c>
      <c r="H6" s="3">
        <f t="shared" si="1"/>
        <v>0.32770586013793901</v>
      </c>
    </row>
    <row r="7" spans="1:8" x14ac:dyDescent="0.2">
      <c r="A7" s="1" t="s">
        <v>71</v>
      </c>
      <c r="B7" s="1" t="s">
        <v>78</v>
      </c>
      <c r="C7" s="4">
        <v>-0.43664434552192599</v>
      </c>
      <c r="D7" s="1" t="s">
        <v>73</v>
      </c>
      <c r="E7" s="1" t="s">
        <v>78</v>
      </c>
      <c r="F7" s="4">
        <v>-0.43647813796996998</v>
      </c>
      <c r="G7" s="3">
        <f t="shared" si="0"/>
        <v>-0.43656124174594801</v>
      </c>
      <c r="H7" s="3">
        <f t="shared" si="1"/>
        <v>0.43656124174594801</v>
      </c>
    </row>
    <row r="8" spans="1:8" x14ac:dyDescent="0.2">
      <c r="A8" s="1" t="s">
        <v>71</v>
      </c>
      <c r="B8" s="1" t="s">
        <v>79</v>
      </c>
      <c r="C8" s="4">
        <v>-0.307245343923568</v>
      </c>
      <c r="D8" s="1" t="s">
        <v>73</v>
      </c>
      <c r="E8" s="1" t="s">
        <v>79</v>
      </c>
      <c r="F8" s="4">
        <v>-0.34624814987182601</v>
      </c>
      <c r="G8" s="3">
        <f t="shared" si="0"/>
        <v>-0.326746746897697</v>
      </c>
      <c r="H8" s="3">
        <f t="shared" si="1"/>
        <v>0.326746746897697</v>
      </c>
    </row>
    <row r="9" spans="1:8" x14ac:dyDescent="0.2">
      <c r="A9" s="1" t="s">
        <v>71</v>
      </c>
      <c r="B9" s="1" t="s">
        <v>83</v>
      </c>
      <c r="C9" s="4">
        <v>0.44316598773002602</v>
      </c>
      <c r="D9" s="1" t="s">
        <v>73</v>
      </c>
      <c r="E9" s="1" t="s">
        <v>83</v>
      </c>
      <c r="F9" s="4">
        <v>0.427694112062454</v>
      </c>
      <c r="G9" s="3">
        <f t="shared" si="0"/>
        <v>0.43543004989624001</v>
      </c>
      <c r="H9" s="3">
        <f t="shared" si="1"/>
        <v>-0.43543004989624001</v>
      </c>
    </row>
    <row r="10" spans="1:8" x14ac:dyDescent="0.2">
      <c r="A10" s="1" t="s">
        <v>71</v>
      </c>
      <c r="B10" s="1" t="s">
        <v>84</v>
      </c>
      <c r="C10" s="4">
        <v>-0.195985928177833</v>
      </c>
      <c r="D10" s="1" t="s">
        <v>73</v>
      </c>
      <c r="E10" s="1" t="s">
        <v>84</v>
      </c>
      <c r="F10" s="4">
        <v>-0.23351894319057401</v>
      </c>
      <c r="G10" s="3">
        <f t="shared" si="0"/>
        <v>-0.21475243568420299</v>
      </c>
      <c r="H10" s="3">
        <f t="shared" si="1"/>
        <v>0.21475243568420299</v>
      </c>
    </row>
    <row r="11" spans="1:8" x14ac:dyDescent="0.2">
      <c r="A11" s="1" t="s">
        <v>71</v>
      </c>
      <c r="B11" s="1" t="s">
        <v>81</v>
      </c>
      <c r="C11" s="4">
        <v>0.73975521326064997</v>
      </c>
      <c r="D11" s="1" t="s">
        <v>73</v>
      </c>
      <c r="E11" s="1" t="s">
        <v>81</v>
      </c>
      <c r="F11" s="4">
        <v>0.70270222425460804</v>
      </c>
      <c r="G11" s="3">
        <f t="shared" si="0"/>
        <v>0.72122871875762895</v>
      </c>
      <c r="H11" s="3">
        <f t="shared" si="1"/>
        <v>-0.72122871875762895</v>
      </c>
    </row>
    <row r="12" spans="1:8" x14ac:dyDescent="0.2">
      <c r="A12" s="1" t="s">
        <v>71</v>
      </c>
      <c r="B12" s="1" t="s">
        <v>82</v>
      </c>
      <c r="C12" s="4">
        <v>-0.204873412847518</v>
      </c>
      <c r="D12" s="1" t="s">
        <v>73</v>
      </c>
      <c r="E12" s="1" t="s">
        <v>82</v>
      </c>
      <c r="F12" s="4">
        <v>-0.19505351781845001</v>
      </c>
      <c r="G12" s="3">
        <f t="shared" si="0"/>
        <v>-0.19996346533298401</v>
      </c>
      <c r="H12" s="3">
        <f t="shared" si="1"/>
        <v>0.19996346533298401</v>
      </c>
    </row>
    <row r="13" spans="1:8" x14ac:dyDescent="0.2">
      <c r="A13" s="1" t="s">
        <v>71</v>
      </c>
      <c r="B13" s="1" t="s">
        <v>88</v>
      </c>
      <c r="C13" s="4">
        <v>-1.5111585855484</v>
      </c>
      <c r="D13" s="1" t="s">
        <v>73</v>
      </c>
      <c r="E13" s="1" t="s">
        <v>88</v>
      </c>
      <c r="F13" s="4">
        <v>-1.5042430162429801</v>
      </c>
      <c r="G13" s="3">
        <f t="shared" si="0"/>
        <v>-1.50770080089569</v>
      </c>
      <c r="H13" s="3">
        <f t="shared" si="1"/>
        <v>1.50770080089569</v>
      </c>
    </row>
    <row r="14" spans="1:8" x14ac:dyDescent="0.2">
      <c r="A14" s="1" t="s">
        <v>71</v>
      </c>
      <c r="B14" s="1" t="s">
        <v>89</v>
      </c>
      <c r="C14" s="4">
        <v>-0.70722496509552002</v>
      </c>
      <c r="D14" s="1" t="s">
        <v>73</v>
      </c>
      <c r="E14" s="1" t="s">
        <v>89</v>
      </c>
      <c r="F14" s="4">
        <v>-0.71352481842041005</v>
      </c>
      <c r="G14" s="3">
        <f t="shared" si="0"/>
        <v>-0.71037489175796498</v>
      </c>
      <c r="H14" s="3">
        <f t="shared" si="1"/>
        <v>0.71037489175796498</v>
      </c>
    </row>
    <row r="15" spans="1:8" x14ac:dyDescent="0.2">
      <c r="A15" s="1" t="s">
        <v>71</v>
      </c>
      <c r="B15" s="1" t="s">
        <v>85</v>
      </c>
      <c r="C15" s="2">
        <v>-1.42471015453338</v>
      </c>
      <c r="D15" s="1" t="s">
        <v>73</v>
      </c>
      <c r="E15" s="1" t="s">
        <v>85</v>
      </c>
      <c r="F15" s="2">
        <v>-1.3556703329086299</v>
      </c>
      <c r="G15" s="3">
        <f t="shared" si="0"/>
        <v>-1.3901902437210001</v>
      </c>
      <c r="H15" s="3">
        <f t="shared" si="1"/>
        <v>1.3901902437210001</v>
      </c>
    </row>
    <row r="16" spans="1:8" x14ac:dyDescent="0.2">
      <c r="A16" s="1" t="s">
        <v>71</v>
      </c>
      <c r="B16" s="1" t="s">
        <v>86</v>
      </c>
      <c r="C16" s="4">
        <v>-1.5912288427352901</v>
      </c>
      <c r="D16" s="1" t="s">
        <v>73</v>
      </c>
      <c r="E16" s="1" t="s">
        <v>86</v>
      </c>
      <c r="F16" s="4">
        <v>-1.56811010837554</v>
      </c>
      <c r="G16" s="3">
        <f t="shared" si="0"/>
        <v>-1.5796694755554199</v>
      </c>
      <c r="H16" s="3">
        <f t="shared" si="1"/>
        <v>1.5796694755554199</v>
      </c>
    </row>
    <row r="17" spans="1:8" x14ac:dyDescent="0.2">
      <c r="A17" s="1" t="s">
        <v>71</v>
      </c>
      <c r="B17" s="1" t="s">
        <v>87</v>
      </c>
      <c r="C17" s="4">
        <v>-2.2399864196777299</v>
      </c>
      <c r="D17" s="1" t="s">
        <v>73</v>
      </c>
      <c r="E17" s="1" t="s">
        <v>87</v>
      </c>
      <c r="F17" s="4">
        <v>-2.2227821350097599</v>
      </c>
      <c r="G17" s="3">
        <f t="shared" si="0"/>
        <v>-2.2313842773437398</v>
      </c>
      <c r="H17" s="3">
        <f t="shared" si="1"/>
        <v>2.2313842773437398</v>
      </c>
    </row>
    <row r="18" spans="1:8" x14ac:dyDescent="0.2">
      <c r="A18" s="1" t="s">
        <v>71</v>
      </c>
      <c r="B18" s="1" t="s">
        <v>91</v>
      </c>
      <c r="C18" s="4">
        <v>6.3073009252548204E-2</v>
      </c>
      <c r="D18" s="1" t="s">
        <v>73</v>
      </c>
      <c r="E18" s="1" t="s">
        <v>91</v>
      </c>
      <c r="F18" s="4">
        <v>4.6506714075803701E-2</v>
      </c>
      <c r="G18" s="3">
        <f t="shared" si="0"/>
        <v>5.4789861664176001E-2</v>
      </c>
      <c r="H18" s="3">
        <f t="shared" si="1"/>
        <v>-5.4789861664176001E-2</v>
      </c>
    </row>
    <row r="19" spans="1:8" x14ac:dyDescent="0.2">
      <c r="A19" s="1" t="s">
        <v>71</v>
      </c>
      <c r="B19" s="1" t="s">
        <v>90</v>
      </c>
      <c r="C19" s="4">
        <v>-0.13755001127719799</v>
      </c>
      <c r="D19" s="1" t="s">
        <v>73</v>
      </c>
      <c r="E19" s="1" t="s">
        <v>90</v>
      </c>
      <c r="F19" s="4">
        <v>-0.19475102424621499</v>
      </c>
      <c r="G19" s="3">
        <f t="shared" si="0"/>
        <v>-0.166150517761706</v>
      </c>
      <c r="H19" s="3">
        <f t="shared" si="1"/>
        <v>0.166150517761706</v>
      </c>
    </row>
    <row r="20" spans="1:8" x14ac:dyDescent="0.2">
      <c r="A20" s="1" t="s">
        <v>93</v>
      </c>
      <c r="B20" s="1" t="s">
        <v>94</v>
      </c>
      <c r="C20" s="2">
        <v>-7.5873568654060294E-2</v>
      </c>
      <c r="D20" s="1" t="s">
        <v>95</v>
      </c>
      <c r="E20" s="1" t="s">
        <v>94</v>
      </c>
      <c r="F20" s="2">
        <v>-0.31412240862846302</v>
      </c>
      <c r="G20" s="3">
        <f t="shared" si="0"/>
        <v>-0.194997988641262</v>
      </c>
      <c r="H20" s="3">
        <f t="shared" si="1"/>
        <v>0.194997988641262</v>
      </c>
    </row>
    <row r="21" spans="1:8" x14ac:dyDescent="0.2">
      <c r="A21" s="1" t="s">
        <v>93</v>
      </c>
      <c r="B21" s="1" t="s">
        <v>96</v>
      </c>
      <c r="C21" s="4">
        <v>-0.101376220583915</v>
      </c>
      <c r="D21" s="1" t="s">
        <v>95</v>
      </c>
      <c r="E21" s="1" t="s">
        <v>96</v>
      </c>
      <c r="F21" s="4">
        <v>-0.242324039340019</v>
      </c>
      <c r="G21" s="3">
        <f t="shared" si="0"/>
        <v>-0.171850129961967</v>
      </c>
      <c r="H21" s="3">
        <f t="shared" si="1"/>
        <v>0.171850129961967</v>
      </c>
    </row>
    <row r="22" spans="1:8" x14ac:dyDescent="0.2">
      <c r="A22" s="1" t="s">
        <v>93</v>
      </c>
      <c r="B22" s="1" t="s">
        <v>97</v>
      </c>
      <c r="C22" s="4">
        <v>-0.29739406704902599</v>
      </c>
      <c r="D22" s="1" t="s">
        <v>95</v>
      </c>
      <c r="E22" s="1" t="s">
        <v>97</v>
      </c>
      <c r="F22" s="4">
        <v>-0.58056801557540805</v>
      </c>
      <c r="G22" s="3">
        <f t="shared" si="0"/>
        <v>-0.43898104131221699</v>
      </c>
      <c r="H22" s="3">
        <f t="shared" si="1"/>
        <v>0.43898104131221699</v>
      </c>
    </row>
    <row r="23" spans="1:8" x14ac:dyDescent="0.2">
      <c r="A23" s="1" t="s">
        <v>93</v>
      </c>
      <c r="B23" s="1" t="s">
        <v>100</v>
      </c>
      <c r="C23" s="4">
        <v>-0.19953119754791199</v>
      </c>
      <c r="D23" s="1" t="s">
        <v>95</v>
      </c>
      <c r="E23" s="1" t="s">
        <v>100</v>
      </c>
      <c r="F23" s="4">
        <v>-0.24064901471138</v>
      </c>
      <c r="G23" s="3">
        <f t="shared" si="0"/>
        <v>-0.220090106129646</v>
      </c>
      <c r="H23" s="3">
        <f t="shared" si="1"/>
        <v>0.220090106129646</v>
      </c>
    </row>
    <row r="24" spans="1:8" x14ac:dyDescent="0.2">
      <c r="A24" s="1" t="s">
        <v>93</v>
      </c>
      <c r="B24" s="1" t="s">
        <v>99</v>
      </c>
      <c r="C24" s="4">
        <v>-0.155303999781608</v>
      </c>
      <c r="D24" s="1" t="s">
        <v>95</v>
      </c>
      <c r="E24" s="1" t="s">
        <v>99</v>
      </c>
      <c r="F24" s="4">
        <v>-1.5626000240445099E-2</v>
      </c>
      <c r="G24" s="3">
        <f t="shared" si="0"/>
        <v>-8.5465000011026596E-2</v>
      </c>
      <c r="H24" s="3">
        <f t="shared" si="1"/>
        <v>8.5465000011026596E-2</v>
      </c>
    </row>
    <row r="25" spans="1:8" x14ac:dyDescent="0.2">
      <c r="A25" s="1" t="s">
        <v>93</v>
      </c>
      <c r="B25" s="1" t="s">
        <v>98</v>
      </c>
      <c r="C25" s="4">
        <v>-0.66451334953308105</v>
      </c>
      <c r="D25" s="1" t="s">
        <v>95</v>
      </c>
      <c r="E25" s="1" t="s">
        <v>98</v>
      </c>
      <c r="F25" s="4">
        <v>-0.51520258188247603</v>
      </c>
      <c r="G25" s="3">
        <f t="shared" si="0"/>
        <v>-0.58985796570777804</v>
      </c>
      <c r="H25" s="3">
        <f t="shared" si="1"/>
        <v>0.58985796570777804</v>
      </c>
    </row>
    <row r="26" spans="1:8" x14ac:dyDescent="0.2">
      <c r="A26" s="1" t="s">
        <v>93</v>
      </c>
      <c r="B26" s="1" t="s">
        <v>101</v>
      </c>
      <c r="C26" s="2">
        <v>0.93139636516571001</v>
      </c>
      <c r="D26" s="1" t="s">
        <v>95</v>
      </c>
      <c r="E26" s="1" t="s">
        <v>101</v>
      </c>
      <c r="F26" s="2">
        <v>0.89684200286865201</v>
      </c>
      <c r="G26" s="3">
        <f t="shared" si="0"/>
        <v>0.91411918401718095</v>
      </c>
      <c r="H26" s="3">
        <f t="shared" si="1"/>
        <v>-0.91411918401718095</v>
      </c>
    </row>
    <row r="27" spans="1:8" x14ac:dyDescent="0.2">
      <c r="A27" s="1" t="s">
        <v>93</v>
      </c>
      <c r="B27" s="1" t="s">
        <v>103</v>
      </c>
      <c r="C27" s="4">
        <v>0.23493285477161399</v>
      </c>
      <c r="D27" s="1" t="s">
        <v>95</v>
      </c>
      <c r="E27" s="1" t="s">
        <v>103</v>
      </c>
      <c r="F27" s="4">
        <v>0.27603396773338301</v>
      </c>
      <c r="G27" s="3">
        <f t="shared" si="0"/>
        <v>0.25548341125249902</v>
      </c>
      <c r="H27" s="3">
        <f t="shared" si="1"/>
        <v>-0.25548341125249902</v>
      </c>
    </row>
    <row r="28" spans="1:8" x14ac:dyDescent="0.2">
      <c r="A28" s="1" t="s">
        <v>93</v>
      </c>
      <c r="B28" s="1" t="s">
        <v>102</v>
      </c>
      <c r="C28" s="4">
        <v>0.82605367898940996</v>
      </c>
      <c r="D28" s="1" t="s">
        <v>95</v>
      </c>
      <c r="E28" s="1" t="s">
        <v>102</v>
      </c>
      <c r="F28" s="4">
        <v>0.87993812561035101</v>
      </c>
      <c r="G28" s="3">
        <f t="shared" si="0"/>
        <v>0.85299590229988098</v>
      </c>
      <c r="H28" s="3">
        <f t="shared" si="1"/>
        <v>-0.85299590229988098</v>
      </c>
    </row>
    <row r="29" spans="1:8" x14ac:dyDescent="0.2">
      <c r="A29" s="1" t="s">
        <v>93</v>
      </c>
      <c r="B29" s="1" t="s">
        <v>104</v>
      </c>
      <c r="C29" s="4">
        <v>1.1560204029083201</v>
      </c>
      <c r="D29" s="1" t="s">
        <v>95</v>
      </c>
      <c r="E29" s="1" t="s">
        <v>104</v>
      </c>
      <c r="F29" s="4">
        <v>1.2876503467559799</v>
      </c>
      <c r="G29" s="3">
        <f t="shared" si="0"/>
        <v>1.22183537483215</v>
      </c>
      <c r="H29" s="3">
        <f t="shared" si="1"/>
        <v>-1.22183537483215</v>
      </c>
    </row>
    <row r="30" spans="1:8" x14ac:dyDescent="0.2">
      <c r="A30" s="1" t="s">
        <v>93</v>
      </c>
      <c r="B30" s="1" t="s">
        <v>105</v>
      </c>
      <c r="C30" s="4">
        <v>0.64160233736038197</v>
      </c>
      <c r="D30" s="1" t="s">
        <v>95</v>
      </c>
      <c r="E30" s="1" t="s">
        <v>105</v>
      </c>
      <c r="F30" s="4">
        <v>0.700117707252502</v>
      </c>
      <c r="G30" s="3">
        <f t="shared" si="0"/>
        <v>0.67086002230644204</v>
      </c>
      <c r="H30" s="3">
        <f t="shared" si="1"/>
        <v>-0.67086002230644204</v>
      </c>
    </row>
    <row r="31" spans="1:8" x14ac:dyDescent="0.2">
      <c r="A31" s="1" t="s">
        <v>93</v>
      </c>
      <c r="B31" s="1" t="s">
        <v>68</v>
      </c>
      <c r="C31" s="4">
        <v>-1.29553723335266</v>
      </c>
      <c r="D31" s="1" t="s">
        <v>95</v>
      </c>
      <c r="E31" s="1" t="s">
        <v>68</v>
      </c>
      <c r="F31" s="4">
        <v>-1.3111044168472199</v>
      </c>
      <c r="G31" s="3">
        <f t="shared" si="0"/>
        <v>-1.30332082509994</v>
      </c>
      <c r="H31" s="3">
        <f t="shared" si="1"/>
        <v>1.30332082509994</v>
      </c>
    </row>
    <row r="32" spans="1:8" x14ac:dyDescent="0.2">
      <c r="A32" s="1" t="s">
        <v>93</v>
      </c>
      <c r="B32" s="1" t="s">
        <v>69</v>
      </c>
      <c r="C32" s="4">
        <v>-1.4193696975707999</v>
      </c>
      <c r="D32" s="1" t="s">
        <v>95</v>
      </c>
      <c r="E32" s="1" t="s">
        <v>69</v>
      </c>
      <c r="F32" s="4">
        <v>-1.45274877548217</v>
      </c>
      <c r="G32" s="3">
        <f t="shared" si="0"/>
        <v>-1.4360592365264799</v>
      </c>
      <c r="H32" s="3">
        <f t="shared" si="1"/>
        <v>1.4360592365264799</v>
      </c>
    </row>
    <row r="33" spans="1:8" x14ac:dyDescent="0.2">
      <c r="A33" s="1" t="s">
        <v>93</v>
      </c>
      <c r="B33" s="1" t="s">
        <v>67</v>
      </c>
      <c r="C33" s="4">
        <v>-1.7001094818115201</v>
      </c>
      <c r="D33" s="1" t="s">
        <v>95</v>
      </c>
      <c r="E33" s="1" t="s">
        <v>67</v>
      </c>
      <c r="F33" s="4">
        <v>-1.6809941530227599</v>
      </c>
      <c r="G33" s="3">
        <f t="shared" si="0"/>
        <v>-1.6905518174171399</v>
      </c>
      <c r="H33" s="3">
        <f t="shared" si="1"/>
        <v>1.6905518174171399</v>
      </c>
    </row>
    <row r="34" spans="1:8" x14ac:dyDescent="0.2">
      <c r="A34" s="1" t="s">
        <v>93</v>
      </c>
      <c r="B34" s="1" t="s">
        <v>106</v>
      </c>
      <c r="C34" s="4">
        <v>-0.97701108455657903</v>
      </c>
      <c r="D34" s="1" t="s">
        <v>95</v>
      </c>
      <c r="E34" s="1" t="s">
        <v>106</v>
      </c>
      <c r="F34" s="4">
        <v>-0.95829319953918402</v>
      </c>
      <c r="G34" s="3">
        <f t="shared" si="0"/>
        <v>-0.96765214204788197</v>
      </c>
      <c r="H34" s="3">
        <f t="shared" si="1"/>
        <v>0.96765214204788197</v>
      </c>
    </row>
    <row r="35" spans="1:8" x14ac:dyDescent="0.2">
      <c r="A35" s="1" t="s">
        <v>93</v>
      </c>
      <c r="B35" s="1" t="s">
        <v>108</v>
      </c>
      <c r="C35" s="4">
        <v>-1.52175104618072</v>
      </c>
      <c r="D35" s="1" t="s">
        <v>95</v>
      </c>
      <c r="E35" s="1" t="s">
        <v>108</v>
      </c>
      <c r="F35" s="4">
        <v>-1.4441266059875399</v>
      </c>
      <c r="G35" s="3">
        <f t="shared" si="0"/>
        <v>-1.4829388260841301</v>
      </c>
      <c r="H35" s="3">
        <f t="shared" si="1"/>
        <v>1.4829388260841301</v>
      </c>
    </row>
    <row r="36" spans="1:8" x14ac:dyDescent="0.2">
      <c r="A36" s="1" t="s">
        <v>93</v>
      </c>
      <c r="B36" s="1" t="s">
        <v>107</v>
      </c>
      <c r="C36" s="4">
        <v>-0.89417725801467896</v>
      </c>
      <c r="D36" s="1" t="s">
        <v>95</v>
      </c>
      <c r="E36" s="1" t="s">
        <v>107</v>
      </c>
      <c r="F36" s="4">
        <v>-0.97392284870147705</v>
      </c>
      <c r="G36" s="3">
        <f t="shared" si="0"/>
        <v>-0.934050053358078</v>
      </c>
      <c r="H36" s="3">
        <f t="shared" si="1"/>
        <v>0.934050053358078</v>
      </c>
    </row>
    <row r="37" spans="1:8" x14ac:dyDescent="0.2">
      <c r="A37" s="1" t="s">
        <v>93</v>
      </c>
      <c r="B37" s="1" t="s">
        <v>109</v>
      </c>
      <c r="C37" s="4">
        <v>-0.48430791497230502</v>
      </c>
      <c r="D37" s="1" t="s">
        <v>95</v>
      </c>
      <c r="E37" s="1" t="s">
        <v>109</v>
      </c>
      <c r="F37" s="4">
        <v>-0.336366146802902</v>
      </c>
      <c r="G37" s="3">
        <f t="shared" si="0"/>
        <v>-0.41033703088760398</v>
      </c>
      <c r="H37" s="3">
        <f t="shared" si="1"/>
        <v>0.41033703088760398</v>
      </c>
    </row>
    <row r="38" spans="1:8" x14ac:dyDescent="0.2">
      <c r="A38" s="1" t="s">
        <v>93</v>
      </c>
      <c r="B38" s="1" t="s">
        <v>110</v>
      </c>
      <c r="C38" s="4">
        <v>-0.71671527624130205</v>
      </c>
      <c r="D38" s="1" t="s">
        <v>95</v>
      </c>
      <c r="E38" s="1" t="s">
        <v>110</v>
      </c>
      <c r="F38" s="4">
        <v>-0.52701538801193204</v>
      </c>
      <c r="G38" s="3">
        <f t="shared" si="0"/>
        <v>-0.62186533212661699</v>
      </c>
      <c r="H38" s="3">
        <f t="shared" si="1"/>
        <v>0.62186533212661699</v>
      </c>
    </row>
    <row r="39" spans="1:8" x14ac:dyDescent="0.2">
      <c r="A39" s="1" t="s">
        <v>93</v>
      </c>
      <c r="B39" s="1" t="s">
        <v>111</v>
      </c>
      <c r="C39" s="4">
        <v>-2.0019838809967001</v>
      </c>
      <c r="D39" s="1" t="s">
        <v>95</v>
      </c>
      <c r="E39" s="1" t="s">
        <v>111</v>
      </c>
      <c r="F39" s="4">
        <v>-2.0502500534057599</v>
      </c>
      <c r="G39" s="3">
        <f t="shared" si="0"/>
        <v>-2.0261169672012298</v>
      </c>
      <c r="H39" s="3">
        <f t="shared" si="1"/>
        <v>2.0261169672012298</v>
      </c>
    </row>
    <row r="40" spans="1:8" x14ac:dyDescent="0.2">
      <c r="A40" s="1" t="s">
        <v>93</v>
      </c>
      <c r="B40" s="1" t="s">
        <v>112</v>
      </c>
      <c r="C40" s="4">
        <v>-1.3590047359466499</v>
      </c>
      <c r="D40" s="1" t="s">
        <v>95</v>
      </c>
      <c r="E40" s="1" t="s">
        <v>112</v>
      </c>
      <c r="F40" s="4">
        <v>-1.3803073167800901</v>
      </c>
      <c r="G40" s="3">
        <f t="shared" si="0"/>
        <v>-1.3696560263633699</v>
      </c>
      <c r="H40" s="3">
        <f t="shared" si="1"/>
        <v>1.3696560263633699</v>
      </c>
    </row>
    <row r="41" spans="1:8" x14ac:dyDescent="0.2">
      <c r="A41" s="1" t="s">
        <v>93</v>
      </c>
      <c r="B41" s="1" t="s">
        <v>114</v>
      </c>
      <c r="C41" s="4">
        <v>-0.19656623899936601</v>
      </c>
      <c r="D41" s="1" t="s">
        <v>95</v>
      </c>
      <c r="E41" s="1" t="s">
        <v>114</v>
      </c>
      <c r="F41" s="4">
        <v>-0.16244263947009999</v>
      </c>
      <c r="G41" s="3">
        <f t="shared" si="0"/>
        <v>-0.179504439234733</v>
      </c>
      <c r="H41" s="3">
        <f t="shared" si="1"/>
        <v>0.179504439234733</v>
      </c>
    </row>
    <row r="42" spans="1:8" x14ac:dyDescent="0.2">
      <c r="A42" s="1" t="s">
        <v>93</v>
      </c>
      <c r="B42" s="1" t="s">
        <v>113</v>
      </c>
      <c r="C42" s="2">
        <v>-0.96075350046157804</v>
      </c>
      <c r="D42" s="1" t="s">
        <v>95</v>
      </c>
      <c r="E42" s="1" t="s">
        <v>113</v>
      </c>
      <c r="F42" s="2">
        <v>-0.86957389116287198</v>
      </c>
      <c r="G42" s="3">
        <f t="shared" si="0"/>
        <v>-0.91516369581222501</v>
      </c>
      <c r="H42" s="3">
        <f t="shared" si="1"/>
        <v>0.91516369581222501</v>
      </c>
    </row>
    <row r="43" spans="1:8" x14ac:dyDescent="0.2">
      <c r="A43" s="1" t="s">
        <v>93</v>
      </c>
      <c r="B43" s="1" t="s">
        <v>116</v>
      </c>
      <c r="C43" s="4">
        <v>-0.66986143589019698</v>
      </c>
      <c r="D43" s="1" t="s">
        <v>95</v>
      </c>
      <c r="E43" s="1" t="s">
        <v>116</v>
      </c>
      <c r="F43" s="4">
        <v>-0.61847537755966098</v>
      </c>
      <c r="G43" s="3">
        <f t="shared" si="0"/>
        <v>-0.64416840672492903</v>
      </c>
      <c r="H43" s="3">
        <f t="shared" si="1"/>
        <v>0.64416840672492903</v>
      </c>
    </row>
    <row r="44" spans="1:8" x14ac:dyDescent="0.2">
      <c r="A44" s="1" t="s">
        <v>93</v>
      </c>
      <c r="B44" s="1" t="s">
        <v>115</v>
      </c>
      <c r="C44" s="4">
        <v>-0.95315903425216597</v>
      </c>
      <c r="D44" s="1" t="s">
        <v>95</v>
      </c>
      <c r="E44" s="1" t="s">
        <v>115</v>
      </c>
      <c r="F44" s="4">
        <v>-0.84988278150558405</v>
      </c>
      <c r="G44" s="3">
        <f t="shared" si="0"/>
        <v>-0.90152090787887496</v>
      </c>
      <c r="H44" s="3">
        <f t="shared" si="1"/>
        <v>0.90152090787887496</v>
      </c>
    </row>
    <row r="45" spans="1:8" x14ac:dyDescent="0.2">
      <c r="A45" s="1" t="s">
        <v>93</v>
      </c>
      <c r="B45" s="1" t="s">
        <v>117</v>
      </c>
      <c r="C45" s="4">
        <v>1.4846222400665201</v>
      </c>
      <c r="D45" s="1" t="s">
        <v>95</v>
      </c>
      <c r="E45" s="1" t="s">
        <v>117</v>
      </c>
      <c r="F45" s="4">
        <v>1.4623723030090301</v>
      </c>
      <c r="G45" s="3">
        <f t="shared" si="0"/>
        <v>1.4734972715377701</v>
      </c>
      <c r="H45" s="3">
        <f t="shared" si="1"/>
        <v>-1.4734972715377701</v>
      </c>
    </row>
    <row r="46" spans="1:8" x14ac:dyDescent="0.2">
      <c r="A46" s="1" t="s">
        <v>93</v>
      </c>
      <c r="B46" s="1" t="s">
        <v>118</v>
      </c>
      <c r="C46" s="4">
        <v>-2.6168582439422599</v>
      </c>
      <c r="D46" s="1" t="s">
        <v>95</v>
      </c>
      <c r="E46" s="1" t="s">
        <v>118</v>
      </c>
      <c r="F46" s="4">
        <v>-2.68353199958801</v>
      </c>
      <c r="G46" s="3">
        <f t="shared" si="0"/>
        <v>-2.6501951217651301</v>
      </c>
      <c r="H46" s="3">
        <f t="shared" si="1"/>
        <v>2.6501951217651301</v>
      </c>
    </row>
    <row r="47" spans="1:8" x14ac:dyDescent="0.2">
      <c r="A47" s="1" t="s">
        <v>93</v>
      </c>
      <c r="B47" s="1" t="s">
        <v>119</v>
      </c>
      <c r="C47" s="4">
        <v>-1.94523382186889</v>
      </c>
      <c r="D47" s="1" t="s">
        <v>95</v>
      </c>
      <c r="E47" s="1" t="s">
        <v>119</v>
      </c>
      <c r="F47" s="4">
        <v>-2.0885920524597101</v>
      </c>
      <c r="G47" s="3">
        <f t="shared" si="0"/>
        <v>-2.0169129371643</v>
      </c>
      <c r="H47" s="3">
        <f t="shared" si="1"/>
        <v>2.0169129371643</v>
      </c>
    </row>
    <row r="48" spans="1:8" x14ac:dyDescent="0.2">
      <c r="A48" s="1" t="s">
        <v>93</v>
      </c>
      <c r="B48" s="1" t="s">
        <v>121</v>
      </c>
      <c r="C48" s="4">
        <v>-0.90388691425323398</v>
      </c>
      <c r="D48" s="1" t="s">
        <v>95</v>
      </c>
      <c r="E48" s="1" t="s">
        <v>121</v>
      </c>
      <c r="F48" s="4">
        <v>-0.94565075635910001</v>
      </c>
      <c r="G48" s="3">
        <f t="shared" si="0"/>
        <v>-0.92476883530616705</v>
      </c>
      <c r="H48" s="3">
        <f t="shared" si="1"/>
        <v>0.92476883530616705</v>
      </c>
    </row>
    <row r="49" spans="1:8" x14ac:dyDescent="0.2">
      <c r="A49" s="1" t="s">
        <v>93</v>
      </c>
      <c r="B49" s="1" t="s">
        <v>122</v>
      </c>
      <c r="C49" s="4">
        <v>-0.43320572376251198</v>
      </c>
      <c r="D49" s="1" t="s">
        <v>95</v>
      </c>
      <c r="E49" s="1" t="s">
        <v>122</v>
      </c>
      <c r="F49" s="4">
        <v>-0.43067985773086498</v>
      </c>
      <c r="G49" s="3">
        <f t="shared" si="0"/>
        <v>-0.43194279074668901</v>
      </c>
      <c r="H49" s="3">
        <f t="shared" si="1"/>
        <v>0.43194279074668901</v>
      </c>
    </row>
    <row r="50" spans="1:8" x14ac:dyDescent="0.2">
      <c r="A50" s="1" t="s">
        <v>93</v>
      </c>
      <c r="B50" s="1" t="s">
        <v>120</v>
      </c>
      <c r="C50" s="4">
        <v>-0.94835966825485196</v>
      </c>
      <c r="D50" s="1" t="s">
        <v>95</v>
      </c>
      <c r="E50" s="1" t="s">
        <v>120</v>
      </c>
      <c r="F50" s="4">
        <v>-0.98336470127105702</v>
      </c>
      <c r="G50" s="3">
        <f t="shared" si="0"/>
        <v>-0.96586218476295405</v>
      </c>
      <c r="H50" s="3">
        <f t="shared" si="1"/>
        <v>0.96586218476295405</v>
      </c>
    </row>
    <row r="51" spans="1:8" x14ac:dyDescent="0.2">
      <c r="A51" s="1" t="s">
        <v>93</v>
      </c>
      <c r="B51" s="1" t="s">
        <v>125</v>
      </c>
      <c r="C51" s="4">
        <v>-0.66580349206924405</v>
      </c>
      <c r="D51" s="1" t="s">
        <v>95</v>
      </c>
      <c r="E51" s="1" t="s">
        <v>125</v>
      </c>
      <c r="F51" s="4">
        <v>-0.62121462821960405</v>
      </c>
      <c r="G51" s="3">
        <f t="shared" si="0"/>
        <v>-0.64350906014442399</v>
      </c>
      <c r="H51" s="3">
        <f t="shared" si="1"/>
        <v>0.64350906014442399</v>
      </c>
    </row>
    <row r="52" spans="1:8" x14ac:dyDescent="0.2">
      <c r="A52" s="1" t="s">
        <v>93</v>
      </c>
      <c r="B52" s="1" t="s">
        <v>124</v>
      </c>
      <c r="C52" s="4">
        <v>-1.5470838546752901</v>
      </c>
      <c r="D52" s="1" t="s">
        <v>95</v>
      </c>
      <c r="E52" s="1" t="s">
        <v>124</v>
      </c>
      <c r="F52" s="4">
        <v>-1.5232412815093901</v>
      </c>
      <c r="G52" s="3">
        <f t="shared" si="0"/>
        <v>-1.53516256809234</v>
      </c>
      <c r="H52" s="3">
        <f t="shared" si="1"/>
        <v>1.53516256809234</v>
      </c>
    </row>
    <row r="53" spans="1:8" x14ac:dyDescent="0.2">
      <c r="A53" s="1" t="s">
        <v>93</v>
      </c>
      <c r="B53" s="1" t="s">
        <v>123</v>
      </c>
      <c r="C53" s="4">
        <v>-1.01569831371307</v>
      </c>
      <c r="D53" s="1" t="s">
        <v>95</v>
      </c>
      <c r="E53" s="1" t="s">
        <v>123</v>
      </c>
      <c r="F53" s="4">
        <v>-1.0840756893157899</v>
      </c>
      <c r="G53" s="3">
        <f t="shared" si="0"/>
        <v>-1.0498870015144299</v>
      </c>
      <c r="H53" s="3">
        <f t="shared" si="1"/>
        <v>1.0498870015144299</v>
      </c>
    </row>
    <row r="54" spans="1:8" x14ac:dyDescent="0.2">
      <c r="A54" s="1" t="s">
        <v>7</v>
      </c>
      <c r="B54" s="1" t="s">
        <v>10</v>
      </c>
      <c r="C54" s="4">
        <v>0.119565144181251</v>
      </c>
      <c r="D54" s="1" t="s">
        <v>9</v>
      </c>
      <c r="E54" s="1" t="s">
        <v>10</v>
      </c>
      <c r="F54" s="4">
        <v>4.2047549039125401E-2</v>
      </c>
      <c r="G54" s="3">
        <f t="shared" si="0"/>
        <v>8.0806346610188207E-2</v>
      </c>
      <c r="H54" s="3">
        <f t="shared" si="1"/>
        <v>-8.0806346610188207E-2</v>
      </c>
    </row>
    <row r="55" spans="1:8" x14ac:dyDescent="0.2">
      <c r="A55" s="1" t="s">
        <v>7</v>
      </c>
      <c r="B55" s="1" t="s">
        <v>8</v>
      </c>
      <c r="C55" s="4">
        <v>-4.5275378972291898E-2</v>
      </c>
      <c r="D55" s="1" t="s">
        <v>9</v>
      </c>
      <c r="E55" s="1" t="s">
        <v>8</v>
      </c>
      <c r="F55" s="4">
        <v>2.3029875010251999E-2</v>
      </c>
      <c r="G55" s="3">
        <f t="shared" si="0"/>
        <v>-1.1122751981019899E-2</v>
      </c>
      <c r="H55" s="3">
        <f t="shared" si="1"/>
        <v>1.1122751981019899E-2</v>
      </c>
    </row>
    <row r="56" spans="1:8" x14ac:dyDescent="0.2">
      <c r="A56" s="1" t="s">
        <v>7</v>
      </c>
      <c r="B56" s="1" t="s">
        <v>11</v>
      </c>
      <c r="C56" s="4">
        <v>0.16588760912418299</v>
      </c>
      <c r="D56" s="1" t="s">
        <v>9</v>
      </c>
      <c r="E56" s="1" t="s">
        <v>11</v>
      </c>
      <c r="F56" s="4">
        <v>4.73158508539199E-2</v>
      </c>
      <c r="G56" s="3">
        <f t="shared" si="0"/>
        <v>0.106601729989051</v>
      </c>
      <c r="H56" s="3">
        <f t="shared" si="1"/>
        <v>-0.106601729989051</v>
      </c>
    </row>
    <row r="57" spans="1:8" x14ac:dyDescent="0.2">
      <c r="A57" s="1" t="s">
        <v>7</v>
      </c>
      <c r="B57" s="1" t="s">
        <v>14</v>
      </c>
      <c r="C57" s="4">
        <v>-0.70435714721679599</v>
      </c>
      <c r="D57" s="1" t="s">
        <v>9</v>
      </c>
      <c r="E57" s="1" t="s">
        <v>14</v>
      </c>
      <c r="F57" s="4">
        <v>-0.710454702377319</v>
      </c>
      <c r="G57" s="3">
        <f t="shared" si="0"/>
        <v>-0.707405924797057</v>
      </c>
      <c r="H57" s="3">
        <f t="shared" si="1"/>
        <v>0.707405924797057</v>
      </c>
    </row>
    <row r="58" spans="1:8" x14ac:dyDescent="0.2">
      <c r="A58" s="1" t="s">
        <v>7</v>
      </c>
      <c r="B58" s="1" t="s">
        <v>12</v>
      </c>
      <c r="C58" s="4">
        <v>0.45153546333312899</v>
      </c>
      <c r="D58" s="1" t="s">
        <v>9</v>
      </c>
      <c r="E58" s="1" t="s">
        <v>12</v>
      </c>
      <c r="F58" s="4">
        <v>0.472001463174819</v>
      </c>
      <c r="G58" s="3">
        <f t="shared" si="0"/>
        <v>0.46176846325397403</v>
      </c>
      <c r="H58" s="3">
        <f t="shared" si="1"/>
        <v>-0.46176846325397403</v>
      </c>
    </row>
    <row r="59" spans="1:8" x14ac:dyDescent="0.2">
      <c r="A59" s="1" t="s">
        <v>7</v>
      </c>
      <c r="B59" s="1" t="s">
        <v>15</v>
      </c>
      <c r="C59" s="4">
        <v>-0.66140317916870095</v>
      </c>
      <c r="D59" s="1" t="s">
        <v>9</v>
      </c>
      <c r="E59" s="1" t="s">
        <v>15</v>
      </c>
      <c r="F59" s="4">
        <v>-0.67202824354171697</v>
      </c>
      <c r="G59" s="3">
        <f t="shared" si="0"/>
        <v>-0.66671571135520902</v>
      </c>
      <c r="H59" s="3">
        <f t="shared" si="1"/>
        <v>0.66671571135520902</v>
      </c>
    </row>
    <row r="60" spans="1:8" x14ac:dyDescent="0.2">
      <c r="A60" s="1" t="s">
        <v>7</v>
      </c>
      <c r="B60" s="1" t="s">
        <v>13</v>
      </c>
      <c r="C60" s="4">
        <v>-0.91908770799636796</v>
      </c>
      <c r="D60" s="1" t="s">
        <v>9</v>
      </c>
      <c r="E60" s="1" t="s">
        <v>13</v>
      </c>
      <c r="F60" s="4">
        <v>-0.85417383909225397</v>
      </c>
      <c r="G60" s="3">
        <f t="shared" si="0"/>
        <v>-0.88663077354431097</v>
      </c>
      <c r="H60" s="3">
        <f t="shared" si="1"/>
        <v>0.88663077354431097</v>
      </c>
    </row>
    <row r="61" spans="1:8" x14ac:dyDescent="0.2">
      <c r="A61" s="1" t="s">
        <v>7</v>
      </c>
      <c r="B61" s="1" t="s">
        <v>16</v>
      </c>
      <c r="C61" s="4">
        <v>-0.29364931583404502</v>
      </c>
      <c r="D61" s="1" t="s">
        <v>9</v>
      </c>
      <c r="E61" s="1" t="s">
        <v>16</v>
      </c>
      <c r="F61" s="4">
        <v>-0.255695611238479</v>
      </c>
      <c r="G61" s="3">
        <f t="shared" si="0"/>
        <v>-0.27467246353626201</v>
      </c>
      <c r="H61" s="3">
        <f t="shared" si="1"/>
        <v>0.27467246353626201</v>
      </c>
    </row>
    <row r="62" spans="1:8" x14ac:dyDescent="0.2">
      <c r="A62" s="1" t="s">
        <v>7</v>
      </c>
      <c r="B62" s="1" t="s">
        <v>17</v>
      </c>
      <c r="C62" s="4">
        <v>-0.51500970125198298</v>
      </c>
      <c r="D62" s="1" t="s">
        <v>9</v>
      </c>
      <c r="E62" s="1" t="s">
        <v>17</v>
      </c>
      <c r="F62" s="4">
        <v>-0.45758441090583801</v>
      </c>
      <c r="G62" s="3">
        <f t="shared" si="0"/>
        <v>-0.48629705607890999</v>
      </c>
      <c r="H62" s="3">
        <f t="shared" si="1"/>
        <v>0.48629705607890999</v>
      </c>
    </row>
    <row r="63" spans="1:8" x14ac:dyDescent="0.2">
      <c r="A63" s="1" t="s">
        <v>7</v>
      </c>
      <c r="B63" s="1" t="s">
        <v>18</v>
      </c>
      <c r="C63" s="4">
        <v>0.125461891293525</v>
      </c>
      <c r="D63" s="1" t="s">
        <v>9</v>
      </c>
      <c r="E63" s="1" t="s">
        <v>18</v>
      </c>
      <c r="F63" s="4">
        <v>0.17605173587799</v>
      </c>
      <c r="G63" s="3">
        <f t="shared" si="0"/>
        <v>0.15075681358575699</v>
      </c>
      <c r="H63" s="3">
        <f t="shared" si="1"/>
        <v>-0.15075681358575699</v>
      </c>
    </row>
    <row r="64" spans="1:8" x14ac:dyDescent="0.2">
      <c r="A64" s="1" t="s">
        <v>7</v>
      </c>
      <c r="B64" s="1" t="s">
        <v>19</v>
      </c>
      <c r="C64" s="4">
        <v>-0.99923205375671398</v>
      </c>
      <c r="D64" s="1" t="s">
        <v>9</v>
      </c>
      <c r="E64" s="1" t="s">
        <v>19</v>
      </c>
      <c r="F64" s="4">
        <v>-0.91234719753265303</v>
      </c>
      <c r="G64" s="3">
        <f t="shared" si="0"/>
        <v>-0.95578962564468395</v>
      </c>
      <c r="H64" s="3">
        <f t="shared" si="1"/>
        <v>0.95578962564468395</v>
      </c>
    </row>
    <row r="65" spans="1:8" x14ac:dyDescent="0.2">
      <c r="A65" s="1" t="s">
        <v>7</v>
      </c>
      <c r="B65" s="1" t="s">
        <v>23</v>
      </c>
      <c r="C65" s="4">
        <v>-1.3078379631042401</v>
      </c>
      <c r="D65" s="1" t="s">
        <v>9</v>
      </c>
      <c r="E65" s="1" t="s">
        <v>23</v>
      </c>
      <c r="F65" s="4">
        <v>-1.1750185489654501</v>
      </c>
      <c r="G65" s="3">
        <f t="shared" si="0"/>
        <v>-1.24142825603485</v>
      </c>
      <c r="H65" s="3">
        <f t="shared" si="1"/>
        <v>1.24142825603485</v>
      </c>
    </row>
    <row r="66" spans="1:8" x14ac:dyDescent="0.2">
      <c r="A66" s="1" t="s">
        <v>7</v>
      </c>
      <c r="B66" s="1" t="s">
        <v>24</v>
      </c>
      <c r="C66" s="4">
        <v>-0.11021926254033999</v>
      </c>
      <c r="D66" s="1" t="s">
        <v>9</v>
      </c>
      <c r="E66" s="1" t="s">
        <v>24</v>
      </c>
      <c r="F66" s="4">
        <v>-6.4959391951560905E-2</v>
      </c>
      <c r="G66" s="3">
        <f t="shared" si="0"/>
        <v>-8.7589327245950394E-2</v>
      </c>
      <c r="H66" s="3">
        <f t="shared" si="1"/>
        <v>8.7589327245950394E-2</v>
      </c>
    </row>
    <row r="67" spans="1:8" x14ac:dyDescent="0.2">
      <c r="A67" s="1" t="s">
        <v>7</v>
      </c>
      <c r="B67" s="1" t="s">
        <v>21</v>
      </c>
      <c r="C67" s="4">
        <v>-0.286890238523483</v>
      </c>
      <c r="D67" s="1" t="s">
        <v>9</v>
      </c>
      <c r="E67" s="1" t="s">
        <v>21</v>
      </c>
      <c r="F67" s="4">
        <v>-0.241183251142501</v>
      </c>
      <c r="G67" s="3">
        <f t="shared" ref="G67:G113" si="2">AVERAGE(C67,F67)</f>
        <v>-0.264036744832992</v>
      </c>
      <c r="H67" s="3">
        <f t="shared" ref="H67:H113" si="3">-G67</f>
        <v>0.264036744832992</v>
      </c>
    </row>
    <row r="68" spans="1:8" x14ac:dyDescent="0.2">
      <c r="A68" s="1" t="s">
        <v>7</v>
      </c>
      <c r="B68" s="1" t="s">
        <v>20</v>
      </c>
      <c r="C68" s="4">
        <v>-6.0432270169258097E-2</v>
      </c>
      <c r="D68" s="1" t="s">
        <v>9</v>
      </c>
      <c r="E68" s="1" t="s">
        <v>20</v>
      </c>
      <c r="F68" s="4">
        <v>-6.7327909171581199E-2</v>
      </c>
      <c r="G68" s="3">
        <f t="shared" si="2"/>
        <v>-6.3880089670419707E-2</v>
      </c>
      <c r="H68" s="3">
        <f t="shared" si="3"/>
        <v>6.3880089670419707E-2</v>
      </c>
    </row>
    <row r="69" spans="1:8" x14ac:dyDescent="0.2">
      <c r="A69" s="1" t="s">
        <v>7</v>
      </c>
      <c r="B69" s="1" t="s">
        <v>22</v>
      </c>
      <c r="C69" s="4">
        <v>-0.37618756294250399</v>
      </c>
      <c r="D69" s="1" t="s">
        <v>9</v>
      </c>
      <c r="E69" s="1" t="s">
        <v>22</v>
      </c>
      <c r="F69" s="4">
        <v>-0.36138337850570601</v>
      </c>
      <c r="G69" s="3">
        <f t="shared" si="2"/>
        <v>-0.368785470724105</v>
      </c>
      <c r="H69" s="3">
        <f t="shared" si="3"/>
        <v>0.368785470724105</v>
      </c>
    </row>
    <row r="70" spans="1:8" x14ac:dyDescent="0.2">
      <c r="A70" s="1" t="s">
        <v>7</v>
      </c>
      <c r="B70" s="1" t="s">
        <v>25</v>
      </c>
      <c r="C70" s="4">
        <v>-0.91831117868423395</v>
      </c>
      <c r="D70" s="1" t="s">
        <v>9</v>
      </c>
      <c r="E70" s="1" t="s">
        <v>25</v>
      </c>
      <c r="F70" s="4">
        <v>-0.87696242332458496</v>
      </c>
      <c r="G70" s="3">
        <f t="shared" si="2"/>
        <v>-0.89763680100440901</v>
      </c>
      <c r="H70" s="3">
        <f t="shared" si="3"/>
        <v>0.89763680100440901</v>
      </c>
    </row>
    <row r="71" spans="1:8" x14ac:dyDescent="0.2">
      <c r="A71" s="1" t="s">
        <v>7</v>
      </c>
      <c r="B71" s="1" t="s">
        <v>27</v>
      </c>
      <c r="C71" s="4">
        <v>-0.49121212959289501</v>
      </c>
      <c r="D71" s="1" t="s">
        <v>9</v>
      </c>
      <c r="E71" s="1" t="s">
        <v>27</v>
      </c>
      <c r="F71" s="4">
        <v>-0.46751052141189497</v>
      </c>
      <c r="G71" s="3">
        <f t="shared" si="2"/>
        <v>-0.47936132550239502</v>
      </c>
      <c r="H71" s="3">
        <f t="shared" si="3"/>
        <v>0.47936132550239502</v>
      </c>
    </row>
    <row r="72" spans="1:8" x14ac:dyDescent="0.2">
      <c r="A72" s="1" t="s">
        <v>7</v>
      </c>
      <c r="B72" s="1" t="s">
        <v>26</v>
      </c>
      <c r="C72" s="4">
        <v>-0.61819499731063798</v>
      </c>
      <c r="D72" s="1" t="s">
        <v>9</v>
      </c>
      <c r="E72" s="1" t="s">
        <v>26</v>
      </c>
      <c r="F72" s="4">
        <v>-0.58489608764648404</v>
      </c>
      <c r="G72" s="3">
        <f t="shared" si="2"/>
        <v>-0.60154554247856096</v>
      </c>
      <c r="H72" s="3">
        <f t="shared" si="3"/>
        <v>0.60154554247856096</v>
      </c>
    </row>
    <row r="73" spans="1:8" x14ac:dyDescent="0.2">
      <c r="A73" s="1" t="s">
        <v>7</v>
      </c>
      <c r="B73" s="1" t="s">
        <v>28</v>
      </c>
      <c r="C73" s="4">
        <v>8.0423973500728593E-2</v>
      </c>
      <c r="D73" s="1" t="s">
        <v>9</v>
      </c>
      <c r="E73" s="1" t="s">
        <v>28</v>
      </c>
      <c r="F73" s="4">
        <v>8.3574034273624406E-2</v>
      </c>
      <c r="G73" s="3">
        <f t="shared" si="2"/>
        <v>8.19990038871765E-2</v>
      </c>
      <c r="H73" s="3">
        <f t="shared" si="3"/>
        <v>-8.19990038871765E-2</v>
      </c>
    </row>
    <row r="74" spans="1:8" x14ac:dyDescent="0.2">
      <c r="A74" s="1" t="s">
        <v>7</v>
      </c>
      <c r="B74" s="1" t="s">
        <v>30</v>
      </c>
      <c r="C74" s="4">
        <v>-0.53675270080566395</v>
      </c>
      <c r="D74" s="1" t="s">
        <v>9</v>
      </c>
      <c r="E74" s="1" t="s">
        <v>30</v>
      </c>
      <c r="F74" s="4">
        <v>-0.53156727552413896</v>
      </c>
      <c r="G74" s="3">
        <f t="shared" si="2"/>
        <v>-0.53415998816490196</v>
      </c>
      <c r="H74" s="3">
        <f t="shared" si="3"/>
        <v>0.53415998816490196</v>
      </c>
    </row>
    <row r="75" spans="1:8" x14ac:dyDescent="0.2">
      <c r="A75" s="1" t="s">
        <v>7</v>
      </c>
      <c r="B75" s="1" t="s">
        <v>29</v>
      </c>
      <c r="C75" s="4">
        <v>-0.84921717643737704</v>
      </c>
      <c r="D75" s="1" t="s">
        <v>9</v>
      </c>
      <c r="E75" s="1" t="s">
        <v>29</v>
      </c>
      <c r="F75" s="4">
        <v>-0.86328345537185602</v>
      </c>
      <c r="G75" s="3">
        <f t="shared" si="2"/>
        <v>-0.85625031590461698</v>
      </c>
      <c r="H75" s="3">
        <f t="shared" si="3"/>
        <v>0.85625031590461698</v>
      </c>
    </row>
    <row r="76" spans="1:8" x14ac:dyDescent="0.2">
      <c r="A76" s="1" t="s">
        <v>7</v>
      </c>
      <c r="B76" s="1" t="s">
        <v>31</v>
      </c>
      <c r="C76" s="4">
        <v>-0.58211326599121005</v>
      </c>
      <c r="D76" s="1" t="s">
        <v>9</v>
      </c>
      <c r="E76" s="1" t="s">
        <v>31</v>
      </c>
      <c r="F76" s="4">
        <v>-0.58454906940460205</v>
      </c>
      <c r="G76" s="3">
        <f t="shared" si="2"/>
        <v>-0.58333116769790605</v>
      </c>
      <c r="H76" s="3">
        <f t="shared" si="3"/>
        <v>0.58333116769790605</v>
      </c>
    </row>
    <row r="77" spans="1:8" x14ac:dyDescent="0.2">
      <c r="A77" s="1" t="s">
        <v>7</v>
      </c>
      <c r="B77" s="1" t="s">
        <v>34</v>
      </c>
      <c r="C77" s="4">
        <v>-0.44526034593582098</v>
      </c>
      <c r="D77" s="1" t="s">
        <v>9</v>
      </c>
      <c r="E77" s="1" t="s">
        <v>34</v>
      </c>
      <c r="F77" s="4">
        <v>-0.40688183903694097</v>
      </c>
      <c r="G77" s="3">
        <f t="shared" si="2"/>
        <v>-0.42607109248638098</v>
      </c>
      <c r="H77" s="3">
        <f t="shared" si="3"/>
        <v>0.42607109248638098</v>
      </c>
    </row>
    <row r="78" spans="1:8" x14ac:dyDescent="0.2">
      <c r="A78" s="1" t="s">
        <v>7</v>
      </c>
      <c r="B78" s="1" t="s">
        <v>33</v>
      </c>
      <c r="C78" s="4">
        <v>-0.79143118858337402</v>
      </c>
      <c r="D78" s="1" t="s">
        <v>9</v>
      </c>
      <c r="E78" s="1" t="s">
        <v>33</v>
      </c>
      <c r="F78" s="4">
        <v>-0.75807672739028897</v>
      </c>
      <c r="G78" s="3">
        <f t="shared" si="2"/>
        <v>-0.774753957986831</v>
      </c>
      <c r="H78" s="3">
        <f t="shared" si="3"/>
        <v>0.774753957986831</v>
      </c>
    </row>
    <row r="79" spans="1:8" x14ac:dyDescent="0.2">
      <c r="A79" s="1" t="s">
        <v>7</v>
      </c>
      <c r="B79" s="1" t="s">
        <v>35</v>
      </c>
      <c r="C79" s="4">
        <v>-1.09830665588378</v>
      </c>
      <c r="D79" s="1" t="s">
        <v>9</v>
      </c>
      <c r="E79" s="1" t="s">
        <v>35</v>
      </c>
      <c r="F79" s="4">
        <v>-1.0225739479064899</v>
      </c>
      <c r="G79" s="3">
        <f t="shared" si="2"/>
        <v>-1.0604403018951301</v>
      </c>
      <c r="H79" s="3">
        <f t="shared" si="3"/>
        <v>1.0604403018951301</v>
      </c>
    </row>
    <row r="80" spans="1:8" x14ac:dyDescent="0.2">
      <c r="A80" s="1" t="s">
        <v>7</v>
      </c>
      <c r="B80" s="1" t="s">
        <v>32</v>
      </c>
      <c r="C80" s="4">
        <v>-0.13610053062438901</v>
      </c>
      <c r="D80" s="1" t="s">
        <v>9</v>
      </c>
      <c r="E80" s="1" t="s">
        <v>32</v>
      </c>
      <c r="F80" s="4">
        <v>-0.11301162093877699</v>
      </c>
      <c r="G80" s="3">
        <f t="shared" si="2"/>
        <v>-0.12455607578158299</v>
      </c>
      <c r="H80" s="3">
        <f t="shared" si="3"/>
        <v>0.12455607578158299</v>
      </c>
    </row>
    <row r="81" spans="1:8" x14ac:dyDescent="0.2">
      <c r="A81" s="1" t="s">
        <v>7</v>
      </c>
      <c r="B81" s="1" t="s">
        <v>36</v>
      </c>
      <c r="C81" s="4">
        <v>-0.33273375034332198</v>
      </c>
      <c r="D81" s="1" t="s">
        <v>9</v>
      </c>
      <c r="E81" s="1" t="s">
        <v>36</v>
      </c>
      <c r="F81" s="4">
        <v>-0.338792353868484</v>
      </c>
      <c r="G81" s="3">
        <f t="shared" si="2"/>
        <v>-0.33576305210590301</v>
      </c>
      <c r="H81" s="3">
        <f t="shared" si="3"/>
        <v>0.33576305210590301</v>
      </c>
    </row>
    <row r="82" spans="1:8" x14ac:dyDescent="0.2">
      <c r="A82" s="1" t="s">
        <v>7</v>
      </c>
      <c r="B82" s="1" t="s">
        <v>37</v>
      </c>
      <c r="C82" s="4">
        <v>-0.21323001384735099</v>
      </c>
      <c r="D82" s="1" t="s">
        <v>9</v>
      </c>
      <c r="E82" s="1" t="s">
        <v>37</v>
      </c>
      <c r="F82" s="4">
        <v>-0.21870930492877899</v>
      </c>
      <c r="G82" s="3">
        <f t="shared" si="2"/>
        <v>-0.21596965938806501</v>
      </c>
      <c r="H82" s="3">
        <f t="shared" si="3"/>
        <v>0.21596965938806501</v>
      </c>
    </row>
    <row r="83" spans="1:8" x14ac:dyDescent="0.2">
      <c r="A83" s="1" t="s">
        <v>7</v>
      </c>
      <c r="B83" s="1" t="s">
        <v>38</v>
      </c>
      <c r="C83" s="4">
        <v>-1.7748093605041499</v>
      </c>
      <c r="D83" s="1" t="s">
        <v>9</v>
      </c>
      <c r="E83" s="1" t="s">
        <v>38</v>
      </c>
      <c r="F83" s="4">
        <v>-1.7450423240661601</v>
      </c>
      <c r="G83" s="3">
        <f t="shared" si="2"/>
        <v>-1.75992584228515</v>
      </c>
      <c r="H83" s="3">
        <f t="shared" si="3"/>
        <v>1.75992584228515</v>
      </c>
    </row>
    <row r="84" spans="1:8" x14ac:dyDescent="0.2">
      <c r="A84" s="1" t="s">
        <v>7</v>
      </c>
      <c r="B84" s="1" t="s">
        <v>39</v>
      </c>
      <c r="C84" s="4">
        <v>-0.99675488471984797</v>
      </c>
      <c r="D84" s="1" t="s">
        <v>9</v>
      </c>
      <c r="E84" s="1" t="s">
        <v>39</v>
      </c>
      <c r="F84" s="4">
        <v>-1.0070064067840501</v>
      </c>
      <c r="G84" s="3">
        <f t="shared" si="2"/>
        <v>-1.00188064575195</v>
      </c>
      <c r="H84" s="3">
        <f t="shared" si="3"/>
        <v>1.00188064575195</v>
      </c>
    </row>
    <row r="85" spans="1:8" x14ac:dyDescent="0.2">
      <c r="A85" s="1" t="s">
        <v>7</v>
      </c>
      <c r="B85" s="1" t="s">
        <v>42</v>
      </c>
      <c r="C85" s="4">
        <v>0.20158748328685699</v>
      </c>
      <c r="D85" s="1" t="s">
        <v>9</v>
      </c>
      <c r="E85" s="1" t="s">
        <v>42</v>
      </c>
      <c r="F85" s="4">
        <v>0.16688218712806699</v>
      </c>
      <c r="G85" s="3">
        <f t="shared" si="2"/>
        <v>0.18423483520746201</v>
      </c>
      <c r="H85" s="3">
        <f t="shared" si="3"/>
        <v>-0.18423483520746201</v>
      </c>
    </row>
    <row r="86" spans="1:8" x14ac:dyDescent="0.2">
      <c r="A86" s="1" t="s">
        <v>7</v>
      </c>
      <c r="B86" s="1" t="s">
        <v>41</v>
      </c>
      <c r="C86" s="4">
        <v>-3.1997337937355E-2</v>
      </c>
      <c r="D86" s="1" t="s">
        <v>9</v>
      </c>
      <c r="E86" s="1" t="s">
        <v>41</v>
      </c>
      <c r="F86" s="4">
        <v>-2.9064714908599801E-2</v>
      </c>
      <c r="G86" s="3">
        <f t="shared" si="2"/>
        <v>-3.0531026422977399E-2</v>
      </c>
      <c r="H86" s="3">
        <f t="shared" si="3"/>
        <v>3.0531026422977399E-2</v>
      </c>
    </row>
    <row r="87" spans="1:8" x14ac:dyDescent="0.2">
      <c r="A87" s="1" t="s">
        <v>7</v>
      </c>
      <c r="B87" s="1" t="s">
        <v>40</v>
      </c>
      <c r="C87" s="4">
        <v>-3.5464105167193298E-5</v>
      </c>
      <c r="D87" s="1" t="s">
        <v>9</v>
      </c>
      <c r="E87" s="1" t="s">
        <v>40</v>
      </c>
      <c r="F87" s="4">
        <v>2.2292854264378001E-3</v>
      </c>
      <c r="G87" s="3">
        <f t="shared" si="2"/>
        <v>1.0969106606352999E-3</v>
      </c>
      <c r="H87" s="3">
        <f t="shared" si="3"/>
        <v>-1.0969106606352999E-3</v>
      </c>
    </row>
    <row r="88" spans="1:8" x14ac:dyDescent="0.2">
      <c r="A88" s="1" t="s">
        <v>7</v>
      </c>
      <c r="B88" s="1" t="s">
        <v>43</v>
      </c>
      <c r="C88" s="4">
        <v>-0.56360346078872603</v>
      </c>
      <c r="D88" s="1" t="s">
        <v>9</v>
      </c>
      <c r="E88" s="1" t="s">
        <v>43</v>
      </c>
      <c r="F88" s="4">
        <v>-0.58815217018127397</v>
      </c>
      <c r="G88" s="3">
        <f t="shared" si="2"/>
        <v>-0.57587781548500006</v>
      </c>
      <c r="H88" s="3">
        <f t="shared" si="3"/>
        <v>0.57587781548500006</v>
      </c>
    </row>
    <row r="89" spans="1:8" x14ac:dyDescent="0.2">
      <c r="A89" s="1" t="s">
        <v>7</v>
      </c>
      <c r="B89" s="1" t="s">
        <v>45</v>
      </c>
      <c r="C89" s="4">
        <v>-1.9115024805068901</v>
      </c>
      <c r="D89" s="1" t="s">
        <v>9</v>
      </c>
      <c r="E89" s="1" t="s">
        <v>45</v>
      </c>
      <c r="F89" s="4">
        <v>-2.0612542629241899</v>
      </c>
      <c r="G89" s="3">
        <f t="shared" si="2"/>
        <v>-1.9863783717155401</v>
      </c>
      <c r="H89" s="3">
        <f t="shared" si="3"/>
        <v>1.9863783717155401</v>
      </c>
    </row>
    <row r="90" spans="1:8" x14ac:dyDescent="0.2">
      <c r="A90" s="1" t="s">
        <v>7</v>
      </c>
      <c r="B90" s="1" t="s">
        <v>46</v>
      </c>
      <c r="C90" s="4">
        <v>-1.1610323190689</v>
      </c>
      <c r="D90" s="1" t="s">
        <v>9</v>
      </c>
      <c r="E90" s="1" t="s">
        <v>46</v>
      </c>
      <c r="F90" s="4">
        <v>-1.36044526100158</v>
      </c>
      <c r="G90" s="3">
        <f t="shared" si="2"/>
        <v>-1.26073879003524</v>
      </c>
      <c r="H90" s="3">
        <f t="shared" si="3"/>
        <v>1.26073879003524</v>
      </c>
    </row>
    <row r="91" spans="1:8" x14ac:dyDescent="0.2">
      <c r="A91" s="1" t="s">
        <v>7</v>
      </c>
      <c r="B91" s="1" t="s">
        <v>44</v>
      </c>
      <c r="C91" s="4">
        <v>-1.72402143478393</v>
      </c>
      <c r="D91" s="1" t="s">
        <v>9</v>
      </c>
      <c r="E91" s="1" t="s">
        <v>44</v>
      </c>
      <c r="F91" s="4">
        <v>-1.89152371883392</v>
      </c>
      <c r="G91" s="3">
        <f t="shared" si="2"/>
        <v>-1.8077725768089301</v>
      </c>
      <c r="H91" s="3">
        <f t="shared" si="3"/>
        <v>1.8077725768089301</v>
      </c>
    </row>
    <row r="92" spans="1:8" x14ac:dyDescent="0.2">
      <c r="A92" s="1" t="s">
        <v>7</v>
      </c>
      <c r="B92" s="1" t="s">
        <v>49</v>
      </c>
      <c r="C92" s="4">
        <v>-1.8334034681320099</v>
      </c>
      <c r="D92" s="1" t="s">
        <v>9</v>
      </c>
      <c r="E92" s="1" t="s">
        <v>49</v>
      </c>
      <c r="F92" s="4">
        <v>-1.8035632371902399</v>
      </c>
      <c r="G92" s="3">
        <f t="shared" si="2"/>
        <v>-1.8184833526611199</v>
      </c>
      <c r="H92" s="3">
        <f t="shared" si="3"/>
        <v>1.8184833526611199</v>
      </c>
    </row>
    <row r="93" spans="1:8" x14ac:dyDescent="0.2">
      <c r="A93" s="1" t="s">
        <v>7</v>
      </c>
      <c r="B93" s="1" t="s">
        <v>51</v>
      </c>
      <c r="C93" s="4">
        <v>-0.26187813282012901</v>
      </c>
      <c r="D93" s="1" t="s">
        <v>9</v>
      </c>
      <c r="E93" s="1" t="s">
        <v>51</v>
      </c>
      <c r="F93" s="4">
        <v>-0.17044574022292999</v>
      </c>
      <c r="G93" s="3">
        <f t="shared" si="2"/>
        <v>-0.21616193652152901</v>
      </c>
      <c r="H93" s="3">
        <f t="shared" si="3"/>
        <v>0.21616193652152901</v>
      </c>
    </row>
    <row r="94" spans="1:8" x14ac:dyDescent="0.2">
      <c r="A94" s="1" t="s">
        <v>7</v>
      </c>
      <c r="B94" s="1" t="s">
        <v>50</v>
      </c>
      <c r="C94" s="4">
        <v>-0.957744300365448</v>
      </c>
      <c r="D94" s="1" t="s">
        <v>9</v>
      </c>
      <c r="E94" s="1" t="s">
        <v>50</v>
      </c>
      <c r="F94" s="4">
        <v>-0.93303096294402998</v>
      </c>
      <c r="G94" s="3">
        <f t="shared" si="2"/>
        <v>-0.94538763165473905</v>
      </c>
      <c r="H94" s="3">
        <f t="shared" si="3"/>
        <v>0.94538763165473905</v>
      </c>
    </row>
    <row r="95" spans="1:8" x14ac:dyDescent="0.2">
      <c r="A95" s="1" t="s">
        <v>7</v>
      </c>
      <c r="B95" s="1" t="s">
        <v>48</v>
      </c>
      <c r="C95" s="4">
        <v>-1.5910677909851001</v>
      </c>
      <c r="D95" s="1" t="s">
        <v>9</v>
      </c>
      <c r="E95" s="1" t="s">
        <v>48</v>
      </c>
      <c r="F95" s="4">
        <v>-1.58755135536193</v>
      </c>
      <c r="G95" s="3">
        <f t="shared" si="2"/>
        <v>-1.5893095731735101</v>
      </c>
      <c r="H95" s="3">
        <f t="shared" si="3"/>
        <v>1.5893095731735101</v>
      </c>
    </row>
    <row r="96" spans="1:8" x14ac:dyDescent="0.2">
      <c r="A96" s="1" t="s">
        <v>7</v>
      </c>
      <c r="B96" s="1" t="s">
        <v>47</v>
      </c>
      <c r="C96" s="4">
        <v>-2.1575801372528001</v>
      </c>
      <c r="D96" s="1" t="s">
        <v>9</v>
      </c>
      <c r="E96" s="1" t="s">
        <v>47</v>
      </c>
      <c r="F96" s="4">
        <v>-2.1603136062621999</v>
      </c>
      <c r="G96" s="3">
        <f t="shared" si="2"/>
        <v>-2.1589468717575002</v>
      </c>
      <c r="H96" s="3">
        <f t="shared" si="3"/>
        <v>2.1589468717575002</v>
      </c>
    </row>
    <row r="97" spans="1:8" x14ac:dyDescent="0.2">
      <c r="A97" s="1" t="s">
        <v>7</v>
      </c>
      <c r="B97" s="1" t="s">
        <v>52</v>
      </c>
      <c r="C97" s="4">
        <v>-0.70120996236801103</v>
      </c>
      <c r="D97" s="1" t="s">
        <v>9</v>
      </c>
      <c r="E97" s="1" t="s">
        <v>52</v>
      </c>
      <c r="F97" s="4">
        <v>-0.85151672363281194</v>
      </c>
      <c r="G97" s="3">
        <f t="shared" si="2"/>
        <v>-0.77636334300041199</v>
      </c>
      <c r="H97" s="3">
        <f t="shared" si="3"/>
        <v>0.77636334300041199</v>
      </c>
    </row>
    <row r="98" spans="1:8" x14ac:dyDescent="0.2">
      <c r="A98" s="1" t="s">
        <v>7</v>
      </c>
      <c r="B98" s="1" t="s">
        <v>53</v>
      </c>
      <c r="C98" s="4">
        <v>-2.1408846378326398</v>
      </c>
      <c r="D98" s="1" t="s">
        <v>9</v>
      </c>
      <c r="E98" s="1" t="s">
        <v>53</v>
      </c>
      <c r="F98" s="4">
        <v>-2.4559354782104399</v>
      </c>
      <c r="G98" s="3">
        <f t="shared" si="2"/>
        <v>-2.2984100580215401</v>
      </c>
      <c r="H98" s="3">
        <f t="shared" si="3"/>
        <v>2.2984100580215401</v>
      </c>
    </row>
    <row r="99" spans="1:8" x14ac:dyDescent="0.2">
      <c r="A99" s="1" t="s">
        <v>7</v>
      </c>
      <c r="B99" s="1" t="s">
        <v>56</v>
      </c>
      <c r="C99" s="4">
        <v>-1.32083344459533</v>
      </c>
      <c r="D99" s="1" t="s">
        <v>9</v>
      </c>
      <c r="E99" s="1" t="s">
        <v>56</v>
      </c>
      <c r="F99" s="4">
        <v>-1.3528187274932799</v>
      </c>
      <c r="G99" s="3">
        <f t="shared" si="2"/>
        <v>-1.3368260860443</v>
      </c>
      <c r="H99" s="3">
        <f t="shared" si="3"/>
        <v>1.3368260860443</v>
      </c>
    </row>
    <row r="100" spans="1:8" x14ac:dyDescent="0.2">
      <c r="A100" s="1" t="s">
        <v>7</v>
      </c>
      <c r="B100" s="1" t="s">
        <v>54</v>
      </c>
      <c r="C100" s="4">
        <v>-1.1108701229095399</v>
      </c>
      <c r="D100" s="1" t="s">
        <v>9</v>
      </c>
      <c r="E100" s="1" t="s">
        <v>54</v>
      </c>
      <c r="F100" s="4">
        <v>-1.2371702194213801</v>
      </c>
      <c r="G100" s="3">
        <f t="shared" si="2"/>
        <v>-1.1740201711654601</v>
      </c>
      <c r="H100" s="3">
        <f t="shared" si="3"/>
        <v>1.1740201711654601</v>
      </c>
    </row>
    <row r="101" spans="1:8" x14ac:dyDescent="0.2">
      <c r="A101" s="1" t="s">
        <v>7</v>
      </c>
      <c r="B101" s="1" t="s">
        <v>55</v>
      </c>
      <c r="C101" s="4">
        <v>-2.0927588939666699</v>
      </c>
      <c r="D101" s="1" t="s">
        <v>9</v>
      </c>
      <c r="E101" s="1" t="s">
        <v>55</v>
      </c>
      <c r="F101" s="4">
        <v>-2.3824076652526802</v>
      </c>
      <c r="G101" s="3">
        <f t="shared" si="2"/>
        <v>-2.23758327960967</v>
      </c>
      <c r="H101" s="3">
        <f t="shared" si="3"/>
        <v>2.23758327960967</v>
      </c>
    </row>
    <row r="102" spans="1:8" x14ac:dyDescent="0.2">
      <c r="A102" s="1" t="s">
        <v>7</v>
      </c>
      <c r="B102" s="1" t="s">
        <v>59</v>
      </c>
      <c r="C102" s="4">
        <v>8.80593061447143E-2</v>
      </c>
      <c r="D102" s="1" t="s">
        <v>9</v>
      </c>
      <c r="E102" s="1" t="s">
        <v>59</v>
      </c>
      <c r="F102" s="4">
        <v>0.15404650568962</v>
      </c>
      <c r="G102" s="3">
        <f t="shared" si="2"/>
        <v>0.121052905917167</v>
      </c>
      <c r="H102" s="3">
        <f t="shared" si="3"/>
        <v>-0.121052905917167</v>
      </c>
    </row>
    <row r="103" spans="1:8" x14ac:dyDescent="0.2">
      <c r="A103" s="1" t="s">
        <v>7</v>
      </c>
      <c r="B103" s="1" t="s">
        <v>58</v>
      </c>
      <c r="C103" s="4">
        <v>0.33048349618911699</v>
      </c>
      <c r="D103" s="1" t="s">
        <v>9</v>
      </c>
      <c r="E103" s="1" t="s">
        <v>58</v>
      </c>
      <c r="F103" s="4">
        <v>0.480776667594909</v>
      </c>
      <c r="G103" s="3">
        <f t="shared" si="2"/>
        <v>0.40563008189201299</v>
      </c>
      <c r="H103" s="3">
        <f t="shared" si="3"/>
        <v>-0.40563008189201299</v>
      </c>
    </row>
    <row r="104" spans="1:8" x14ac:dyDescent="0.2">
      <c r="A104" s="1" t="s">
        <v>7</v>
      </c>
      <c r="B104" s="1" t="s">
        <v>57</v>
      </c>
      <c r="C104" s="4">
        <v>-0.31423702836036599</v>
      </c>
      <c r="D104" s="1" t="s">
        <v>9</v>
      </c>
      <c r="E104" s="1" t="s">
        <v>57</v>
      </c>
      <c r="F104" s="4">
        <v>-0.23495176434516901</v>
      </c>
      <c r="G104" s="3">
        <f t="shared" si="2"/>
        <v>-0.274594396352768</v>
      </c>
      <c r="H104" s="3">
        <f t="shared" si="3"/>
        <v>0.274594396352768</v>
      </c>
    </row>
    <row r="105" spans="1:8" x14ac:dyDescent="0.2">
      <c r="A105" s="1" t="s">
        <v>7</v>
      </c>
      <c r="B105" s="1" t="s">
        <v>63</v>
      </c>
      <c r="C105" s="4">
        <v>6.9626837968826294E-2</v>
      </c>
      <c r="D105" s="1" t="s">
        <v>9</v>
      </c>
      <c r="E105" s="1" t="s">
        <v>63</v>
      </c>
      <c r="F105" s="4">
        <v>5.3540296852588598E-2</v>
      </c>
      <c r="G105" s="3">
        <f t="shared" si="2"/>
        <v>6.1583567410707397E-2</v>
      </c>
      <c r="H105" s="3">
        <f t="shared" si="3"/>
        <v>-6.1583567410707397E-2</v>
      </c>
    </row>
    <row r="106" spans="1:8" x14ac:dyDescent="0.2">
      <c r="A106" s="1" t="s">
        <v>7</v>
      </c>
      <c r="B106" s="1" t="s">
        <v>61</v>
      </c>
      <c r="C106" s="4">
        <v>0.182857975363731</v>
      </c>
      <c r="D106" s="1" t="s">
        <v>9</v>
      </c>
      <c r="E106" s="1" t="s">
        <v>61</v>
      </c>
      <c r="F106" s="4">
        <v>2.95403115451335E-2</v>
      </c>
      <c r="G106" s="3">
        <f t="shared" si="2"/>
        <v>0.106199143454432</v>
      </c>
      <c r="H106" s="3">
        <f t="shared" si="3"/>
        <v>-0.106199143454432</v>
      </c>
    </row>
    <row r="107" spans="1:8" x14ac:dyDescent="0.2">
      <c r="A107" s="1" t="s">
        <v>7</v>
      </c>
      <c r="B107" s="1" t="s">
        <v>62</v>
      </c>
      <c r="C107" s="4">
        <v>8.9214310050010598E-2</v>
      </c>
      <c r="D107" s="1" t="s">
        <v>9</v>
      </c>
      <c r="E107" s="1" t="s">
        <v>62</v>
      </c>
      <c r="F107" s="4">
        <v>0.10720600932836501</v>
      </c>
      <c r="G107" s="3">
        <f t="shared" si="2"/>
        <v>9.8210159689187795E-2</v>
      </c>
      <c r="H107" s="3">
        <f t="shared" si="3"/>
        <v>-9.8210159689187795E-2</v>
      </c>
    </row>
    <row r="108" spans="1:8" x14ac:dyDescent="0.2">
      <c r="A108" s="1" t="s">
        <v>7</v>
      </c>
      <c r="B108" s="1" t="s">
        <v>60</v>
      </c>
      <c r="C108" s="4">
        <v>0.45378154516219998</v>
      </c>
      <c r="D108" s="1" t="s">
        <v>9</v>
      </c>
      <c r="E108" s="1" t="s">
        <v>60</v>
      </c>
      <c r="F108" s="4">
        <v>0.24206578731536799</v>
      </c>
      <c r="G108" s="3">
        <f t="shared" si="2"/>
        <v>0.34792366623878401</v>
      </c>
      <c r="H108" s="3">
        <f t="shared" si="3"/>
        <v>-0.34792366623878401</v>
      </c>
    </row>
    <row r="109" spans="1:8" x14ac:dyDescent="0.2">
      <c r="A109" s="1" t="s">
        <v>64</v>
      </c>
      <c r="B109" s="1" t="s">
        <v>70</v>
      </c>
      <c r="C109" s="4">
        <v>-1.44399738311767</v>
      </c>
      <c r="D109" s="1" t="s">
        <v>66</v>
      </c>
      <c r="E109" s="1" t="s">
        <v>70</v>
      </c>
      <c r="F109" s="4">
        <v>-1.5568362474441499</v>
      </c>
      <c r="G109" s="3">
        <f t="shared" si="2"/>
        <v>-1.5004168152809101</v>
      </c>
      <c r="H109" s="3">
        <f t="shared" si="3"/>
        <v>1.5004168152809101</v>
      </c>
    </row>
    <row r="110" spans="1:8" x14ac:dyDescent="0.2">
      <c r="A110" s="1" t="s">
        <v>64</v>
      </c>
      <c r="B110" s="1" t="s">
        <v>67</v>
      </c>
      <c r="C110" s="4">
        <v>-1.6839803457260101</v>
      </c>
      <c r="D110" s="1" t="s">
        <v>66</v>
      </c>
      <c r="E110" s="1" t="s">
        <v>67</v>
      </c>
      <c r="F110" s="4">
        <v>-1.7220762968063299</v>
      </c>
      <c r="G110" s="3">
        <f t="shared" si="2"/>
        <v>-1.7030283212661701</v>
      </c>
      <c r="H110" s="3">
        <f t="shared" si="3"/>
        <v>1.7030283212661701</v>
      </c>
    </row>
    <row r="111" spans="1:8" x14ac:dyDescent="0.2">
      <c r="A111" s="1" t="s">
        <v>64</v>
      </c>
      <c r="B111" s="1" t="s">
        <v>69</v>
      </c>
      <c r="C111" s="4">
        <v>-2.1933937072753902</v>
      </c>
      <c r="D111" s="1" t="s">
        <v>66</v>
      </c>
      <c r="E111" s="1" t="s">
        <v>69</v>
      </c>
      <c r="F111" s="4">
        <v>-2.2559137344360298</v>
      </c>
      <c r="G111" s="3">
        <f t="shared" si="2"/>
        <v>-2.2246537208557098</v>
      </c>
      <c r="H111" s="3">
        <f t="shared" si="3"/>
        <v>2.2246537208557098</v>
      </c>
    </row>
    <row r="112" spans="1:8" x14ac:dyDescent="0.2">
      <c r="A112" s="1" t="s">
        <v>64</v>
      </c>
      <c r="B112" s="1" t="s">
        <v>68</v>
      </c>
      <c r="C112" s="4">
        <v>-1.93270528316497</v>
      </c>
      <c r="D112" s="1" t="s">
        <v>66</v>
      </c>
      <c r="E112" s="1" t="s">
        <v>68</v>
      </c>
      <c r="F112" s="4">
        <v>-2.0771107673645002</v>
      </c>
      <c r="G112" s="3">
        <f t="shared" si="2"/>
        <v>-2.0049080252647302</v>
      </c>
      <c r="H112" s="3">
        <f t="shared" si="3"/>
        <v>2.0049080252647302</v>
      </c>
    </row>
    <row r="113" spans="1:8" x14ac:dyDescent="0.2">
      <c r="A113" s="1" t="s">
        <v>64</v>
      </c>
      <c r="B113" s="1" t="s">
        <v>65</v>
      </c>
      <c r="C113" s="4">
        <v>-0.66739660501480103</v>
      </c>
      <c r="D113" s="1" t="s">
        <v>66</v>
      </c>
      <c r="E113" s="1" t="s">
        <v>65</v>
      </c>
      <c r="F113" s="4">
        <v>-0.756644546985626</v>
      </c>
      <c r="G113" s="3">
        <f t="shared" si="2"/>
        <v>-0.71202057600021396</v>
      </c>
      <c r="H113" s="3">
        <f t="shared" si="3"/>
        <v>0.71202057600021396</v>
      </c>
    </row>
  </sheetData>
  <autoFilter ref="A1:H113" xr:uid="{00000000-0009-0000-0000-000004000000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DDMut-PPI</vt:lpstr>
      <vt:lpstr>SAAMBE-3D</vt:lpstr>
      <vt:lpstr>RDE-network</vt:lpstr>
      <vt:lpstr>PPI</vt:lpstr>
      <vt:lpstr>GeoStab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旭澎 袁</dc:creator>
  <cp:lastModifiedBy>旭澎 袁</cp:lastModifiedBy>
  <dcterms:created xsi:type="dcterms:W3CDTF">2026-05-19T11:05:00Z</dcterms:created>
  <dcterms:modified xsi:type="dcterms:W3CDTF">2026-09-21T01:49:42Z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C174D9AB075D475EDFEA126AF4F8F2CA_42</vt:lpwstr>
  </property>
  <property fmtid="{D5CDD505-2E9C-101B-9397-08002B2CF9AE}" pid="3" name="KSOProductBuildVer">
    <vt:lpwstr>2052-12.1.0.17900</vt:lpwstr>
  </property>
</Properties>
</file>