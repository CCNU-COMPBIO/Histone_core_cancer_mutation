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Histone_core_cancer_mutation\Source_data\Energetically_important_sites_data\"/>
    </mc:Choice>
  </mc:AlternateContent>
  <xr:revisionPtr revIDLastSave="0" documentId="13_ncr:1_{06D9E0BF-ADCF-4EB6-B278-05F6B000EAE1}" xr6:coauthVersionLast="47" xr6:coauthVersionMax="47" xr10:uidLastSave="{00000000-0000-0000-0000-000000000000}"/>
  <bookViews>
    <workbookView xWindow="5580" yWindow="5280" windowWidth="28800" windowHeight="15345" activeTab="2" xr2:uid="{00000000-000D-0000-FFFF-FFFF00000000}"/>
  </bookViews>
  <sheets>
    <sheet name="H2A" sheetId="5" r:id="rId1"/>
    <sheet name="H2B" sheetId="4" r:id="rId2"/>
    <sheet name="H3" sheetId="8" r:id="rId3"/>
    <sheet name="H4" sheetId="6" r:id="rId4"/>
    <sheet name="Sheet1" sheetId="1" r:id="rId5"/>
  </sheets>
  <definedNames>
    <definedName name="_xlnm._FilterDatabase" localSheetId="0" hidden="1">H2A!$A$1:$Q$106</definedName>
    <definedName name="_xlnm._FilterDatabase" localSheetId="1" hidden="1">H2B!$A$1:$Q$97</definedName>
    <definedName name="_xlnm._FilterDatabase" localSheetId="2" hidden="1">'H3'!$A$1:$Q$99</definedName>
    <definedName name="_xlnm._FilterDatabase" localSheetId="3" hidden="1">'H4'!$A$1:$Q$83</definedName>
  </definedNames>
  <calcPr calcId="191029"/>
</workbook>
</file>

<file path=xl/calcChain.xml><?xml version="1.0" encoding="utf-8"?>
<calcChain xmlns="http://schemas.openxmlformats.org/spreadsheetml/2006/main">
  <c r="P4" i="4" l="1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6" i="6"/>
  <c r="P3" i="6"/>
  <c r="P4" i="6"/>
  <c r="P5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2" i="6"/>
  <c r="P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9" i="8"/>
  <c r="P98" i="8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P2" i="4"/>
  <c r="J83" i="6"/>
  <c r="I83" i="6"/>
  <c r="H83" i="6"/>
  <c r="J82" i="6"/>
  <c r="I82" i="6"/>
  <c r="H82" i="6"/>
  <c r="J81" i="6"/>
  <c r="I81" i="6"/>
  <c r="H81" i="6"/>
  <c r="J80" i="6"/>
  <c r="I80" i="6"/>
  <c r="H80" i="6"/>
  <c r="J79" i="6"/>
  <c r="I79" i="6"/>
  <c r="H79" i="6"/>
  <c r="J78" i="6"/>
  <c r="I78" i="6"/>
  <c r="H78" i="6"/>
  <c r="J77" i="6"/>
  <c r="I77" i="6"/>
  <c r="H77" i="6"/>
  <c r="J76" i="6"/>
  <c r="I76" i="6"/>
  <c r="H76" i="6"/>
  <c r="J75" i="6"/>
  <c r="I75" i="6"/>
  <c r="H75" i="6"/>
  <c r="J74" i="6"/>
  <c r="I74" i="6"/>
  <c r="H74" i="6"/>
  <c r="J73" i="6"/>
  <c r="I73" i="6"/>
  <c r="H73" i="6"/>
  <c r="J72" i="6"/>
  <c r="I72" i="6"/>
  <c r="H72" i="6"/>
  <c r="I71" i="6"/>
  <c r="H71" i="6"/>
  <c r="H70" i="6"/>
  <c r="I69" i="6"/>
  <c r="H69" i="6"/>
  <c r="I68" i="6"/>
  <c r="H68" i="6"/>
  <c r="I67" i="6"/>
  <c r="H67" i="6"/>
  <c r="I66" i="6"/>
  <c r="H66" i="6"/>
  <c r="I65" i="6"/>
  <c r="H65" i="6"/>
  <c r="I64" i="6"/>
  <c r="H64" i="6"/>
  <c r="I63" i="6"/>
  <c r="H63" i="6"/>
  <c r="I62" i="6"/>
  <c r="H62" i="6"/>
  <c r="I61" i="6"/>
  <c r="H61" i="6"/>
  <c r="I60" i="6"/>
  <c r="H60" i="6"/>
  <c r="I59" i="6"/>
  <c r="H59" i="6"/>
  <c r="I58" i="6"/>
  <c r="H58" i="6"/>
  <c r="I57" i="6"/>
  <c r="H57" i="6"/>
  <c r="I56" i="6"/>
  <c r="H56" i="6"/>
  <c r="I55" i="6"/>
  <c r="H55" i="6"/>
  <c r="I54" i="6"/>
  <c r="H54" i="6"/>
  <c r="I53" i="6"/>
  <c r="H53" i="6"/>
  <c r="I52" i="6"/>
  <c r="H52" i="6"/>
  <c r="I51" i="6"/>
  <c r="H51" i="6"/>
  <c r="I50" i="6"/>
  <c r="H50" i="6"/>
  <c r="I49" i="6"/>
  <c r="H49" i="6"/>
  <c r="I48" i="6"/>
  <c r="H48" i="6"/>
  <c r="I47" i="6"/>
  <c r="H47" i="6"/>
  <c r="I46" i="6"/>
  <c r="H46" i="6"/>
  <c r="I45" i="6"/>
  <c r="H45" i="6"/>
  <c r="I44" i="6"/>
  <c r="H44" i="6"/>
  <c r="I43" i="6"/>
  <c r="H43" i="6"/>
  <c r="I42" i="6"/>
  <c r="H42" i="6"/>
  <c r="I41" i="6"/>
  <c r="H41" i="6"/>
  <c r="I40" i="6"/>
  <c r="H40" i="6"/>
  <c r="I39" i="6"/>
  <c r="H39" i="6"/>
  <c r="I38" i="6"/>
  <c r="H38" i="6"/>
  <c r="I37" i="6"/>
  <c r="H37" i="6"/>
  <c r="I36" i="6"/>
  <c r="H36" i="6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J14" i="6"/>
  <c r="I14" i="6"/>
  <c r="H14" i="6"/>
  <c r="J13" i="6"/>
  <c r="I13" i="6"/>
  <c r="H13" i="6"/>
  <c r="J12" i="6"/>
  <c r="I12" i="6"/>
  <c r="H12" i="6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J5" i="6"/>
  <c r="I5" i="6"/>
  <c r="H5" i="6"/>
  <c r="J4" i="6"/>
  <c r="I4" i="6"/>
  <c r="H4" i="6"/>
  <c r="J3" i="6"/>
  <c r="I3" i="6"/>
  <c r="H3" i="6"/>
  <c r="J2" i="6"/>
  <c r="I2" i="6"/>
  <c r="H2" i="6"/>
  <c r="J99" i="8"/>
  <c r="I99" i="8"/>
  <c r="H99" i="8"/>
  <c r="J98" i="8"/>
  <c r="I98" i="8"/>
  <c r="H98" i="8"/>
  <c r="J97" i="8"/>
  <c r="I97" i="8"/>
  <c r="H97" i="8"/>
  <c r="J96" i="8"/>
  <c r="I96" i="8"/>
  <c r="H96" i="8"/>
  <c r="J95" i="8"/>
  <c r="I95" i="8"/>
  <c r="H95" i="8"/>
  <c r="J94" i="8"/>
  <c r="I94" i="8"/>
  <c r="H94" i="8"/>
  <c r="J93" i="8"/>
  <c r="I93" i="8"/>
  <c r="H93" i="8"/>
  <c r="J92" i="8"/>
  <c r="I92" i="8"/>
  <c r="H92" i="8"/>
  <c r="I91" i="8"/>
  <c r="H91" i="8"/>
  <c r="I90" i="8"/>
  <c r="H90" i="8"/>
  <c r="I89" i="8"/>
  <c r="H89" i="8"/>
  <c r="I88" i="8"/>
  <c r="H88" i="8"/>
  <c r="I87" i="8"/>
  <c r="H87" i="8"/>
  <c r="I86" i="8"/>
  <c r="H86" i="8"/>
  <c r="I85" i="8"/>
  <c r="H85" i="8"/>
  <c r="I84" i="8"/>
  <c r="H84" i="8"/>
  <c r="I83" i="8"/>
  <c r="H83" i="8"/>
  <c r="I82" i="8"/>
  <c r="H82" i="8"/>
  <c r="I81" i="8"/>
  <c r="H81" i="8"/>
  <c r="I80" i="8"/>
  <c r="H80" i="8"/>
  <c r="I79" i="8"/>
  <c r="H79" i="8"/>
  <c r="I78" i="8"/>
  <c r="H78" i="8"/>
  <c r="I77" i="8"/>
  <c r="H77" i="8"/>
  <c r="I76" i="8"/>
  <c r="H76" i="8"/>
  <c r="H75" i="8"/>
  <c r="H74" i="8"/>
  <c r="H73" i="8"/>
  <c r="H72" i="8"/>
  <c r="H71" i="8"/>
  <c r="I70" i="8"/>
  <c r="H70" i="8"/>
  <c r="I69" i="8"/>
  <c r="H69" i="8"/>
  <c r="I68" i="8"/>
  <c r="H68" i="8"/>
  <c r="I67" i="8"/>
  <c r="H67" i="8"/>
  <c r="I66" i="8"/>
  <c r="H66" i="8"/>
  <c r="I65" i="8"/>
  <c r="H65" i="8"/>
  <c r="I64" i="8"/>
  <c r="H64" i="8"/>
  <c r="I63" i="8"/>
  <c r="H63" i="8"/>
  <c r="I62" i="8"/>
  <c r="H62" i="8"/>
  <c r="I61" i="8"/>
  <c r="H61" i="8"/>
  <c r="I60" i="8"/>
  <c r="H60" i="8"/>
  <c r="I59" i="8"/>
  <c r="H59" i="8"/>
  <c r="I58" i="8"/>
  <c r="H58" i="8"/>
  <c r="I57" i="8"/>
  <c r="H57" i="8"/>
  <c r="I56" i="8"/>
  <c r="H56" i="8"/>
  <c r="I55" i="8"/>
  <c r="H55" i="8"/>
  <c r="I54" i="8"/>
  <c r="H54" i="8"/>
  <c r="I53" i="8"/>
  <c r="H53" i="8"/>
  <c r="I52" i="8"/>
  <c r="H52" i="8"/>
  <c r="I51" i="8"/>
  <c r="H51" i="8"/>
  <c r="I50" i="8"/>
  <c r="H50" i="8"/>
  <c r="I49" i="8"/>
  <c r="H49" i="8"/>
  <c r="I48" i="8"/>
  <c r="H48" i="8"/>
  <c r="I47" i="8"/>
  <c r="H47" i="8"/>
  <c r="I46" i="8"/>
  <c r="H46" i="8"/>
  <c r="I45" i="8"/>
  <c r="H45" i="8"/>
  <c r="I44" i="8"/>
  <c r="H44" i="8"/>
  <c r="I43" i="8"/>
  <c r="H43" i="8"/>
  <c r="I42" i="8"/>
  <c r="H42" i="8"/>
  <c r="I41" i="8"/>
  <c r="H41" i="8"/>
  <c r="I40" i="8"/>
  <c r="H40" i="8"/>
  <c r="I39" i="8"/>
  <c r="H39" i="8"/>
  <c r="I38" i="8"/>
  <c r="H38" i="8"/>
  <c r="I37" i="8"/>
  <c r="H37" i="8"/>
  <c r="I36" i="8"/>
  <c r="H36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J14" i="8"/>
  <c r="I14" i="8"/>
  <c r="H14" i="8"/>
  <c r="J13" i="8"/>
  <c r="I13" i="8"/>
  <c r="H13" i="8"/>
  <c r="J12" i="8"/>
  <c r="I12" i="8"/>
  <c r="H12" i="8"/>
  <c r="J11" i="8"/>
  <c r="I11" i="8"/>
  <c r="H11" i="8"/>
  <c r="J10" i="8"/>
  <c r="I10" i="8"/>
  <c r="H10" i="8"/>
  <c r="J9" i="8"/>
  <c r="I9" i="8"/>
  <c r="H9" i="8"/>
  <c r="J8" i="8"/>
  <c r="I8" i="8"/>
  <c r="H8" i="8"/>
  <c r="J7" i="8"/>
  <c r="I7" i="8"/>
  <c r="H7" i="8"/>
  <c r="J6" i="8"/>
  <c r="I6" i="8"/>
  <c r="H6" i="8"/>
  <c r="J5" i="8"/>
  <c r="I5" i="8"/>
  <c r="H5" i="8"/>
  <c r="J4" i="8"/>
  <c r="I4" i="8"/>
  <c r="H4" i="8"/>
  <c r="J3" i="8"/>
  <c r="I3" i="8"/>
  <c r="H3" i="8"/>
  <c r="J2" i="8"/>
  <c r="I2" i="8"/>
  <c r="H2" i="8"/>
  <c r="J97" i="4"/>
  <c r="I97" i="4"/>
  <c r="H97" i="4"/>
  <c r="J96" i="4"/>
  <c r="I96" i="4"/>
  <c r="H96" i="4"/>
  <c r="J95" i="4"/>
  <c r="I95" i="4"/>
  <c r="H95" i="4"/>
  <c r="J94" i="4"/>
  <c r="I94" i="4"/>
  <c r="H94" i="4"/>
  <c r="J93" i="4"/>
  <c r="I93" i="4"/>
  <c r="H93" i="4"/>
  <c r="J92" i="4"/>
  <c r="I92" i="4"/>
  <c r="H92" i="4"/>
  <c r="J91" i="4"/>
  <c r="I91" i="4"/>
  <c r="H91" i="4"/>
  <c r="J90" i="4"/>
  <c r="I90" i="4"/>
  <c r="H90" i="4"/>
  <c r="J89" i="4"/>
  <c r="I89" i="4"/>
  <c r="H89" i="4"/>
  <c r="J88" i="4"/>
  <c r="I88" i="4"/>
  <c r="H88" i="4"/>
  <c r="J87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J5" i="4"/>
  <c r="I5" i="4"/>
  <c r="H5" i="4"/>
  <c r="J4" i="4"/>
  <c r="I4" i="4"/>
  <c r="H4" i="4"/>
  <c r="J3" i="4"/>
  <c r="I3" i="4"/>
  <c r="H3" i="4"/>
  <c r="J2" i="4"/>
  <c r="I2" i="4"/>
  <c r="H2" i="4"/>
  <c r="J106" i="5"/>
  <c r="I106" i="5"/>
  <c r="H106" i="5"/>
  <c r="J105" i="5"/>
  <c r="I105" i="5"/>
  <c r="H105" i="5"/>
  <c r="J104" i="5"/>
  <c r="I104" i="5"/>
  <c r="H104" i="5"/>
  <c r="J103" i="5"/>
  <c r="I103" i="5"/>
  <c r="H103" i="5"/>
  <c r="J102" i="5"/>
  <c r="I102" i="5"/>
  <c r="H102" i="5"/>
  <c r="J101" i="5"/>
  <c r="I101" i="5"/>
  <c r="H101" i="5"/>
  <c r="J100" i="5"/>
  <c r="I100" i="5"/>
  <c r="H100" i="5"/>
  <c r="J99" i="5"/>
  <c r="I99" i="5"/>
  <c r="H99" i="5"/>
  <c r="J98" i="5"/>
  <c r="I98" i="5"/>
  <c r="H98" i="5"/>
  <c r="J97" i="5"/>
  <c r="I97" i="5"/>
  <c r="H97" i="5"/>
  <c r="J96" i="5"/>
  <c r="I96" i="5"/>
  <c r="H96" i="5"/>
  <c r="J95" i="5"/>
  <c r="I95" i="5"/>
  <c r="H95" i="5"/>
  <c r="J94" i="5"/>
  <c r="I94" i="5"/>
  <c r="H94" i="5"/>
  <c r="J93" i="5"/>
  <c r="I93" i="5"/>
  <c r="H93" i="5"/>
  <c r="J92" i="5"/>
  <c r="I92" i="5"/>
  <c r="H92" i="5"/>
  <c r="J91" i="5"/>
  <c r="I91" i="5"/>
  <c r="H91" i="5"/>
  <c r="J90" i="5"/>
  <c r="I90" i="5"/>
  <c r="H90" i="5"/>
  <c r="J89" i="5"/>
  <c r="I89" i="5"/>
  <c r="H89" i="5"/>
  <c r="J88" i="5"/>
  <c r="I88" i="5"/>
  <c r="H88" i="5"/>
  <c r="J87" i="5"/>
  <c r="I87" i="5"/>
  <c r="H87" i="5"/>
  <c r="J86" i="5"/>
  <c r="I86" i="5"/>
  <c r="H86" i="5"/>
  <c r="J85" i="5"/>
  <c r="I85" i="5"/>
  <c r="H85" i="5"/>
  <c r="J84" i="5"/>
  <c r="I84" i="5"/>
  <c r="H84" i="5"/>
  <c r="J83" i="5"/>
  <c r="I83" i="5"/>
  <c r="H83" i="5"/>
  <c r="J82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J41" i="5"/>
  <c r="H41" i="5"/>
  <c r="H40" i="5"/>
  <c r="H39" i="5"/>
  <c r="J38" i="5"/>
  <c r="H38" i="5"/>
  <c r="H37" i="5"/>
  <c r="H36" i="5"/>
  <c r="I35" i="5"/>
  <c r="H35" i="5"/>
  <c r="J34" i="5"/>
  <c r="I34" i="5"/>
  <c r="H34" i="5"/>
  <c r="J33" i="5"/>
  <c r="I33" i="5"/>
  <c r="H33" i="5"/>
  <c r="J32" i="5"/>
  <c r="I32" i="5"/>
  <c r="H32" i="5"/>
  <c r="J31" i="5"/>
  <c r="I31" i="5"/>
  <c r="H31" i="5"/>
  <c r="J30" i="5"/>
  <c r="I30" i="5"/>
  <c r="H30" i="5"/>
  <c r="J29" i="5"/>
  <c r="I29" i="5"/>
  <c r="H29" i="5"/>
  <c r="J28" i="5"/>
  <c r="I28" i="5"/>
  <c r="H28" i="5"/>
  <c r="J27" i="5"/>
  <c r="I27" i="5"/>
  <c r="H27" i="5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H19" i="5"/>
  <c r="I18" i="5"/>
  <c r="H18" i="5"/>
  <c r="J17" i="5"/>
  <c r="I17" i="5"/>
  <c r="H17" i="5"/>
  <c r="J16" i="5"/>
  <c r="I16" i="5"/>
  <c r="H16" i="5"/>
  <c r="J15" i="5"/>
  <c r="I15" i="5"/>
  <c r="H15" i="5"/>
  <c r="J14" i="5"/>
  <c r="I14" i="5"/>
  <c r="H14" i="5"/>
  <c r="I13" i="5"/>
  <c r="H13" i="5"/>
  <c r="J12" i="5"/>
  <c r="I12" i="5"/>
  <c r="H12" i="5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J5" i="5"/>
  <c r="I5" i="5"/>
  <c r="H5" i="5"/>
  <c r="J4" i="5"/>
  <c r="I4" i="5"/>
  <c r="H4" i="5"/>
  <c r="J3" i="5"/>
  <c r="I3" i="5"/>
  <c r="H3" i="5"/>
  <c r="J2" i="5"/>
  <c r="I2" i="5"/>
  <c r="H2" i="5"/>
</calcChain>
</file>

<file path=xl/sharedStrings.xml><?xml version="1.0" encoding="utf-8"?>
<sst xmlns="http://schemas.openxmlformats.org/spreadsheetml/2006/main" count="793" uniqueCount="69">
  <si>
    <t>wild</t>
  </si>
  <si>
    <t>site</t>
  </si>
  <si>
    <t>residue</t>
  </si>
  <si>
    <t>histone</t>
  </si>
  <si>
    <t>octamer</t>
  </si>
  <si>
    <t>octamer DNA</t>
  </si>
  <si>
    <t>percentage1</t>
  </si>
  <si>
    <t>percentage2</t>
  </si>
  <si>
    <t>percentage3</t>
  </si>
  <si>
    <t>A</t>
  </si>
  <si>
    <t>K</t>
  </si>
  <si>
    <t>T</t>
  </si>
  <si>
    <t>R</t>
  </si>
  <si>
    <t>S</t>
  </si>
  <si>
    <t>G</t>
  </si>
  <si>
    <t>L</t>
  </si>
  <si>
    <t>Q</t>
  </si>
  <si>
    <t>F</t>
  </si>
  <si>
    <t>P</t>
  </si>
  <si>
    <t>V</t>
  </si>
  <si>
    <t>H</t>
  </si>
  <si>
    <t>N</t>
  </si>
  <si>
    <t>Y</t>
  </si>
  <si>
    <t>E</t>
  </si>
  <si>
    <t>I</t>
  </si>
  <si>
    <t>D</t>
  </si>
  <si>
    <t>M</t>
  </si>
  <si>
    <t>C</t>
  </si>
  <si>
    <t>frequency</t>
    <phoneticPr fontId="4" type="noConversion"/>
  </si>
  <si>
    <t>frequency</t>
    <phoneticPr fontId="4" type="noConversion"/>
  </si>
  <si>
    <t>frequency</t>
    <phoneticPr fontId="4" type="noConversion"/>
  </si>
  <si>
    <t>alpha1ext</t>
  </si>
  <si>
    <t>alpha1ext</t>
    <phoneticPr fontId="4" type="noConversion"/>
  </si>
  <si>
    <t>alpha1</t>
  </si>
  <si>
    <t>alpha1</t>
    <phoneticPr fontId="4" type="noConversion"/>
  </si>
  <si>
    <t>loopL1</t>
  </si>
  <si>
    <t>loopL1</t>
    <phoneticPr fontId="4" type="noConversion"/>
  </si>
  <si>
    <t>loopL1, beta1</t>
    <phoneticPr fontId="4" type="noConversion"/>
  </si>
  <si>
    <t>alpha2</t>
  </si>
  <si>
    <t>alpha2</t>
    <phoneticPr fontId="4" type="noConversion"/>
  </si>
  <si>
    <t>alpha3</t>
  </si>
  <si>
    <t>loopL2</t>
  </si>
  <si>
    <t>loopL2</t>
    <phoneticPr fontId="4" type="noConversion"/>
  </si>
  <si>
    <t>loopL2, beta2</t>
    <phoneticPr fontId="4" type="noConversion"/>
  </si>
  <si>
    <t>alpha3</t>
    <phoneticPr fontId="4" type="noConversion"/>
  </si>
  <si>
    <t>beta3</t>
    <phoneticPr fontId="4" type="noConversion"/>
  </si>
  <si>
    <t>alpha3ext, Docking domain</t>
  </si>
  <si>
    <t>Docking domain</t>
    <phoneticPr fontId="4" type="noConversion"/>
  </si>
  <si>
    <t>beta3, Docking domain</t>
    <phoneticPr fontId="4" type="noConversion"/>
  </si>
  <si>
    <t>alpha2, ap</t>
  </si>
  <si>
    <t>alpha2, ap</t>
    <phoneticPr fontId="4" type="noConversion"/>
  </si>
  <si>
    <t>alpha3ext, ap, Docking domain</t>
  </si>
  <si>
    <t>alpha3ext, ap, Docking domain</t>
    <phoneticPr fontId="4" type="noConversion"/>
  </si>
  <si>
    <t>alphaC</t>
    <phoneticPr fontId="4" type="noConversion"/>
  </si>
  <si>
    <t>alphaN</t>
    <phoneticPr fontId="4" type="noConversion"/>
  </si>
  <si>
    <t>loopL1, beta1, R1</t>
    <phoneticPr fontId="4" type="noConversion"/>
  </si>
  <si>
    <t>loopL2, beta2, R2</t>
    <phoneticPr fontId="4" type="noConversion"/>
  </si>
  <si>
    <t>R1</t>
    <phoneticPr fontId="4" type="noConversion"/>
  </si>
  <si>
    <t>alphaN, R1</t>
    <phoneticPr fontId="4" type="noConversion"/>
  </si>
  <si>
    <t>alpha1, R2</t>
    <phoneticPr fontId="4" type="noConversion"/>
  </si>
  <si>
    <t>loopL1, beta1, R3</t>
    <phoneticPr fontId="4" type="noConversion"/>
  </si>
  <si>
    <t>loopL1, beta1, R2</t>
    <phoneticPr fontId="4" type="noConversion"/>
  </si>
  <si>
    <t>structural_domain</t>
  </si>
  <si>
    <t>DDG_GeoStab</t>
  </si>
  <si>
    <t>DDG_MutPNI</t>
  </si>
  <si>
    <t>DDG_PPI_avg</t>
  </si>
  <si>
    <t>DDG_RDE-network</t>
    <phoneticPr fontId="4" type="noConversion"/>
  </si>
  <si>
    <t>DDG_SAAMBE-3D</t>
    <phoneticPr fontId="4" type="noConversion"/>
  </si>
  <si>
    <t>DDG_DDMut-PPI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</si>
</sst>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;[Red]\-0.00\ "/>
  </numFmts>
  <fonts count="6" x14ac:knownFonts="1">
    <font>
      <sz val="11"/>
      <color theme="1"/>
      <name val="等线"/>
      <charset val="134"/>
      <scheme val="minor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0" fontId="1" fillId="0" borderId="0" xfId="0" applyNumberFormat="1" applyFont="1">
      <alignment vertical="center"/>
    </xf>
    <xf numFmtId="10" fontId="1" fillId="2" borderId="0" xfId="0" applyNumberFormat="1" applyFont="1" applyFill="1">
      <alignment vertical="center"/>
    </xf>
    <xf numFmtId="10" fontId="1" fillId="3" borderId="0" xfId="0" applyNumberFormat="1" applyFont="1" applyFill="1">
      <alignment vertical="center"/>
    </xf>
    <xf numFmtId="10" fontId="1" fillId="4" borderId="0" xfId="0" applyNumberFormat="1" applyFont="1" applyFill="1">
      <alignment vertical="center"/>
    </xf>
    <xf numFmtId="176" fontId="2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workbookViewId="0">
      <selection activeCell="N25" sqref="N25"/>
    </sheetView>
  </sheetViews>
  <sheetFormatPr defaultColWidth="9" defaultRowHeight="14.25" x14ac:dyDescent="0.2"/>
  <cols>
    <col min="1" max="2" width="8.25" style="1" customWidth="1"/>
    <col min="3" max="3" width="32.75" style="1" bestFit="1" customWidth="1"/>
    <col min="4" max="6" width="12.75" style="1" customWidth="1"/>
    <col min="7" max="10" width="16.5" style="1" customWidth="1"/>
    <col min="11" max="11" width="16.5" style="9" bestFit="1" customWidth="1"/>
    <col min="12" max="12" width="15.25" style="10" bestFit="1" customWidth="1"/>
    <col min="13" max="13" width="21.5" style="10" bestFit="1" customWidth="1"/>
    <col min="14" max="15" width="19" style="10" bestFit="1" customWidth="1"/>
    <col min="16" max="16" width="16.5" style="10" bestFit="1" customWidth="1"/>
    <col min="17" max="17" width="14" style="10" bestFit="1" customWidth="1"/>
  </cols>
  <sheetData>
    <row r="1" spans="1:17" x14ac:dyDescent="0.2">
      <c r="A1" s="2" t="s">
        <v>0</v>
      </c>
      <c r="B1" s="2" t="s">
        <v>1</v>
      </c>
      <c r="C1" s="2" t="s">
        <v>62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7" t="s">
        <v>63</v>
      </c>
      <c r="L1" s="7" t="s">
        <v>64</v>
      </c>
      <c r="M1" s="7" t="s">
        <v>66</v>
      </c>
      <c r="N1" s="7" t="s">
        <v>67</v>
      </c>
      <c r="O1" s="7" t="s">
        <v>68</v>
      </c>
      <c r="P1" s="7" t="s">
        <v>65</v>
      </c>
      <c r="Q1" s="7" t="s">
        <v>29</v>
      </c>
    </row>
    <row r="2" spans="1:17" x14ac:dyDescent="0.15">
      <c r="A2" s="1" t="s">
        <v>9</v>
      </c>
      <c r="B2" s="1">
        <v>14</v>
      </c>
      <c r="D2" s="1">
        <v>208.26800537109401</v>
      </c>
      <c r="E2" s="1">
        <v>91.812210083007798</v>
      </c>
      <c r="F2" s="1">
        <v>91.812210083007798</v>
      </c>
      <c r="G2" s="1">
        <v>33.125564575195298</v>
      </c>
      <c r="H2" s="3">
        <f t="shared" ref="H2:H33" si="0">E2/D2</f>
        <v>0.44083684346722335</v>
      </c>
      <c r="I2" s="3">
        <f t="shared" ref="I2:I33" si="1">(E2-F2)/E2</f>
        <v>0</v>
      </c>
      <c r="J2" s="6">
        <f t="shared" ref="J2:J33" si="2">(F2-G2)/F2</f>
        <v>0.63920305866456828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f>AVERAGE(M2:O2)</f>
        <v>0</v>
      </c>
      <c r="Q2" s="11">
        <v>0</v>
      </c>
    </row>
    <row r="3" spans="1:17" x14ac:dyDescent="0.15">
      <c r="A3" s="1" t="s">
        <v>10</v>
      </c>
      <c r="B3" s="1">
        <v>15</v>
      </c>
      <c r="D3" s="1">
        <v>302.02249145507801</v>
      </c>
      <c r="E3" s="1">
        <v>133.42643737793</v>
      </c>
      <c r="F3" s="1">
        <v>133.42643737793</v>
      </c>
      <c r="G3" s="1">
        <v>111.42568969726599</v>
      </c>
      <c r="H3" s="3">
        <f t="shared" si="0"/>
        <v>0.44177649397934154</v>
      </c>
      <c r="I3" s="3">
        <f t="shared" si="1"/>
        <v>0</v>
      </c>
      <c r="J3" s="6">
        <f t="shared" si="2"/>
        <v>0.1648904678339492</v>
      </c>
      <c r="K3" s="8">
        <v>-3.5393774509430001E-2</v>
      </c>
      <c r="L3" s="8">
        <v>0.71</v>
      </c>
      <c r="M3" s="8">
        <v>1.36802972604831E-2</v>
      </c>
      <c r="N3" s="8">
        <v>0.85499999999999998</v>
      </c>
      <c r="O3" s="8">
        <v>4.8000000000000001E-2</v>
      </c>
      <c r="P3" s="8">
        <f t="shared" ref="P3:P66" si="3">AVERAGE(M3:O3)</f>
        <v>0.30556009908682774</v>
      </c>
      <c r="Q3" s="11">
        <v>1</v>
      </c>
    </row>
    <row r="4" spans="1:17" x14ac:dyDescent="0.15">
      <c r="A4" s="1" t="s">
        <v>11</v>
      </c>
      <c r="B4" s="1">
        <v>16</v>
      </c>
      <c r="C4" s="1" t="s">
        <v>32</v>
      </c>
      <c r="D4" s="1">
        <v>241.19030761718699</v>
      </c>
      <c r="E4" s="1">
        <v>79.110610961914105</v>
      </c>
      <c r="F4" s="1">
        <v>79.110610961914105</v>
      </c>
      <c r="G4" s="1">
        <v>29.8393745422363</v>
      </c>
      <c r="H4" s="3">
        <f t="shared" si="0"/>
        <v>0.32800078802286314</v>
      </c>
      <c r="I4" s="3">
        <f t="shared" si="1"/>
        <v>0</v>
      </c>
      <c r="J4" s="6">
        <f t="shared" si="2"/>
        <v>0.62281451022288592</v>
      </c>
      <c r="K4" s="8">
        <v>-0.11728801392018801</v>
      </c>
      <c r="L4" s="8">
        <v>0.19950000000000001</v>
      </c>
      <c r="M4" s="8">
        <v>5.06827002391219E-2</v>
      </c>
      <c r="N4" s="8">
        <v>0.32</v>
      </c>
      <c r="O4" s="8">
        <v>7.2000000000000008E-2</v>
      </c>
      <c r="P4" s="8">
        <f t="shared" si="3"/>
        <v>0.14756090007970732</v>
      </c>
      <c r="Q4" s="11">
        <v>1</v>
      </c>
    </row>
    <row r="5" spans="1:17" x14ac:dyDescent="0.15">
      <c r="A5" s="1" t="s">
        <v>12</v>
      </c>
      <c r="B5" s="1">
        <v>17</v>
      </c>
      <c r="C5" s="1" t="s">
        <v>32</v>
      </c>
      <c r="D5" s="1">
        <v>343.68350219726602</v>
      </c>
      <c r="E5" s="1">
        <v>85.957572937011705</v>
      </c>
      <c r="F5" s="1">
        <v>57.694156646728501</v>
      </c>
      <c r="G5" s="1">
        <v>31.724617004394499</v>
      </c>
      <c r="H5" s="3">
        <f t="shared" si="0"/>
        <v>0.2501067766926855</v>
      </c>
      <c r="I5" s="4">
        <f t="shared" si="1"/>
        <v>0.32880658823387404</v>
      </c>
      <c r="J5" s="6">
        <f t="shared" si="2"/>
        <v>0.45012426130691319</v>
      </c>
      <c r="K5" s="8">
        <v>-8.6584463715553506E-2</v>
      </c>
      <c r="L5" s="8">
        <v>0.33800000000000002</v>
      </c>
      <c r="M5" s="8">
        <v>0.38584149132172202</v>
      </c>
      <c r="N5" s="8">
        <v>0.69499999999999995</v>
      </c>
      <c r="O5" s="8">
        <v>0.16300000000000001</v>
      </c>
      <c r="P5" s="8">
        <f t="shared" si="3"/>
        <v>0.41461383044057398</v>
      </c>
      <c r="Q5" s="11">
        <v>7</v>
      </c>
    </row>
    <row r="6" spans="1:17" x14ac:dyDescent="0.15">
      <c r="A6" s="1" t="s">
        <v>13</v>
      </c>
      <c r="B6" s="1">
        <v>18</v>
      </c>
      <c r="C6" s="1" t="s">
        <v>31</v>
      </c>
      <c r="D6" s="1">
        <v>224.61314392089801</v>
      </c>
      <c r="E6" s="1">
        <v>16.3365783691406</v>
      </c>
      <c r="F6" s="1">
        <v>16.3365783691406</v>
      </c>
      <c r="G6" s="1">
        <v>16.117862701416001</v>
      </c>
      <c r="H6" s="5">
        <f t="shared" si="0"/>
        <v>7.2732067607289494E-2</v>
      </c>
      <c r="I6" s="3">
        <f t="shared" si="1"/>
        <v>0</v>
      </c>
      <c r="J6" s="6">
        <f t="shared" si="2"/>
        <v>1.3388095278124292E-2</v>
      </c>
      <c r="K6" s="8">
        <v>9.6076322719454696E-2</v>
      </c>
      <c r="L6" s="8">
        <v>0.35499999999999998</v>
      </c>
      <c r="M6" s="8">
        <v>0.320607816179593</v>
      </c>
      <c r="N6" s="8">
        <v>0.22</v>
      </c>
      <c r="O6" s="8">
        <v>0.124</v>
      </c>
      <c r="P6" s="8">
        <f t="shared" si="3"/>
        <v>0.22153593872653099</v>
      </c>
      <c r="Q6" s="11">
        <v>7</v>
      </c>
    </row>
    <row r="7" spans="1:17" x14ac:dyDescent="0.15">
      <c r="A7" s="1" t="s">
        <v>13</v>
      </c>
      <c r="B7" s="1">
        <v>19</v>
      </c>
      <c r="C7" s="1" t="s">
        <v>31</v>
      </c>
      <c r="D7" s="1">
        <v>228.638916015625</v>
      </c>
      <c r="E7" s="1">
        <v>61.154441833496101</v>
      </c>
      <c r="F7" s="1">
        <v>52.582767486572301</v>
      </c>
      <c r="G7" s="1">
        <v>52.582767486572301</v>
      </c>
      <c r="H7" s="3">
        <f t="shared" si="0"/>
        <v>0.26747170997485337</v>
      </c>
      <c r="I7" s="4">
        <f t="shared" si="1"/>
        <v>0.14016437874229504</v>
      </c>
      <c r="J7" s="3">
        <f t="shared" si="2"/>
        <v>0</v>
      </c>
      <c r="K7" s="8">
        <v>-2.9752203496173E-2</v>
      </c>
      <c r="L7" s="8">
        <v>3.0499999999999999E-2</v>
      </c>
      <c r="M7" s="8">
        <v>-3.4024520466725001E-2</v>
      </c>
      <c r="N7" s="8">
        <v>0.28999999999999998</v>
      </c>
      <c r="O7" s="8">
        <v>5.9499999999999997E-2</v>
      </c>
      <c r="P7" s="8">
        <f t="shared" si="3"/>
        <v>0.10515849317775833</v>
      </c>
      <c r="Q7" s="11">
        <v>8</v>
      </c>
    </row>
    <row r="8" spans="1:17" x14ac:dyDescent="0.15">
      <c r="A8" s="1" t="s">
        <v>12</v>
      </c>
      <c r="B8" s="1">
        <v>20</v>
      </c>
      <c r="C8" s="1" t="s">
        <v>31</v>
      </c>
      <c r="D8" s="1">
        <v>347.02011108398398</v>
      </c>
      <c r="E8" s="1">
        <v>188.98747253418</v>
      </c>
      <c r="F8" s="1">
        <v>93.7451171875</v>
      </c>
      <c r="G8" s="1">
        <v>73.841812133789105</v>
      </c>
      <c r="H8" s="3">
        <f t="shared" si="0"/>
        <v>0.54460092224580681</v>
      </c>
      <c r="I8" s="4">
        <f t="shared" si="1"/>
        <v>0.50396121007150141</v>
      </c>
      <c r="J8" s="6">
        <f t="shared" si="2"/>
        <v>0.21231297854054854</v>
      </c>
      <c r="K8" s="8">
        <v>0.19165852293372099</v>
      </c>
      <c r="L8" s="8">
        <v>0.70899999999999996</v>
      </c>
      <c r="M8" s="8">
        <v>6.3666612220307103E-2</v>
      </c>
      <c r="N8" s="8">
        <v>1.1000000000000001</v>
      </c>
      <c r="O8" s="8">
        <v>0.38350000000000001</v>
      </c>
      <c r="P8" s="8">
        <f t="shared" si="3"/>
        <v>0.51572220407343572</v>
      </c>
      <c r="Q8" s="11">
        <v>1</v>
      </c>
    </row>
    <row r="9" spans="1:17" x14ac:dyDescent="0.15">
      <c r="A9" s="1" t="s">
        <v>9</v>
      </c>
      <c r="B9" s="1">
        <v>21</v>
      </c>
      <c r="C9" s="1" t="s">
        <v>31</v>
      </c>
      <c r="D9" s="1">
        <v>206.41954040527301</v>
      </c>
      <c r="E9" s="1">
        <v>39.967571258544901</v>
      </c>
      <c r="F9" s="1">
        <v>3.6429610252380402</v>
      </c>
      <c r="G9" s="1">
        <v>3.6429610252380402</v>
      </c>
      <c r="H9" s="5">
        <f t="shared" si="0"/>
        <v>0.19362300284205033</v>
      </c>
      <c r="I9" s="4">
        <f t="shared" si="1"/>
        <v>0.90885207905999077</v>
      </c>
      <c r="J9" s="3">
        <f t="shared" si="2"/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f t="shared" si="3"/>
        <v>0</v>
      </c>
      <c r="Q9" s="11">
        <v>2</v>
      </c>
    </row>
    <row r="10" spans="1:17" x14ac:dyDescent="0.15">
      <c r="A10" s="1" t="s">
        <v>14</v>
      </c>
      <c r="B10" s="1">
        <v>22</v>
      </c>
      <c r="C10" s="1" t="s">
        <v>31</v>
      </c>
      <c r="D10" s="1">
        <v>182.56364440918</v>
      </c>
      <c r="E10" s="1">
        <v>56.112857818603501</v>
      </c>
      <c r="F10" s="1">
        <v>44.519626617431598</v>
      </c>
      <c r="G10" s="1">
        <v>44.519626617431598</v>
      </c>
      <c r="H10" s="3">
        <f t="shared" si="0"/>
        <v>0.30736052624386551</v>
      </c>
      <c r="I10" s="4">
        <f t="shared" si="1"/>
        <v>0.20660560969197894</v>
      </c>
      <c r="J10" s="3">
        <f t="shared" si="2"/>
        <v>0</v>
      </c>
      <c r="K10" s="8">
        <v>0.12735367938876099</v>
      </c>
      <c r="L10" s="8">
        <v>0.25900000000000001</v>
      </c>
      <c r="M10" s="8">
        <v>7.0199444890021806E-2</v>
      </c>
      <c r="N10" s="8">
        <v>0.59</v>
      </c>
      <c r="O10" s="8">
        <v>0.1535</v>
      </c>
      <c r="P10" s="8">
        <f t="shared" si="3"/>
        <v>0.27123314829667394</v>
      </c>
      <c r="Q10" s="11">
        <v>4</v>
      </c>
    </row>
    <row r="11" spans="1:17" x14ac:dyDescent="0.15">
      <c r="A11" s="1" t="s">
        <v>15</v>
      </c>
      <c r="B11" s="1">
        <v>23</v>
      </c>
      <c r="D11" s="1">
        <v>273.42205810546898</v>
      </c>
      <c r="E11" s="1">
        <v>31.0344047546387</v>
      </c>
      <c r="F11" s="1">
        <v>24.754737854003899</v>
      </c>
      <c r="G11" s="1">
        <v>24.754737854003899</v>
      </c>
      <c r="H11" s="5">
        <f t="shared" si="0"/>
        <v>0.11350366159071038</v>
      </c>
      <c r="I11" s="4">
        <f t="shared" si="1"/>
        <v>0.20234533094101578</v>
      </c>
      <c r="J11" s="3">
        <f t="shared" si="2"/>
        <v>0</v>
      </c>
      <c r="K11" s="8">
        <v>0.74601444602012601</v>
      </c>
      <c r="L11" s="8">
        <v>-0.57450000000000001</v>
      </c>
      <c r="M11" s="8">
        <v>0.76854888598124105</v>
      </c>
      <c r="N11" s="8">
        <v>1.98</v>
      </c>
      <c r="O11" s="8">
        <v>0.91349999999999998</v>
      </c>
      <c r="P11" s="8">
        <f t="shared" si="3"/>
        <v>1.2206829619937469</v>
      </c>
      <c r="Q11" s="11">
        <v>1</v>
      </c>
    </row>
    <row r="12" spans="1:17" x14ac:dyDescent="0.15">
      <c r="A12" s="1" t="s">
        <v>16</v>
      </c>
      <c r="B12" s="1">
        <v>24</v>
      </c>
      <c r="D12" s="1">
        <v>275.64364624023398</v>
      </c>
      <c r="E12" s="1">
        <v>144.48815917968699</v>
      </c>
      <c r="F12" s="1">
        <v>57.334426879882798</v>
      </c>
      <c r="G12" s="1">
        <v>57.334426879882798</v>
      </c>
      <c r="H12" s="3">
        <f t="shared" si="0"/>
        <v>0.52418461716966269</v>
      </c>
      <c r="I12" s="4">
        <f t="shared" si="1"/>
        <v>0.60318944330530844</v>
      </c>
      <c r="J12" s="3">
        <f t="shared" si="2"/>
        <v>0</v>
      </c>
      <c r="K12" s="8">
        <v>-0.249121263623237</v>
      </c>
      <c r="L12" s="8">
        <v>0.73099999999999998</v>
      </c>
      <c r="M12" s="8">
        <v>0.31309835116068502</v>
      </c>
      <c r="N12" s="8">
        <v>1.0350000000000001</v>
      </c>
      <c r="O12" s="8">
        <v>0.35750000000000004</v>
      </c>
      <c r="P12" s="8">
        <f t="shared" si="3"/>
        <v>0.56853278372022842</v>
      </c>
      <c r="Q12" s="11">
        <v>3</v>
      </c>
    </row>
    <row r="13" spans="1:17" x14ac:dyDescent="0.15">
      <c r="A13" s="1" t="s">
        <v>17</v>
      </c>
      <c r="B13" s="1">
        <v>25</v>
      </c>
      <c r="D13" s="1">
        <v>312.71774291992199</v>
      </c>
      <c r="E13" s="1">
        <v>60.139881134033203</v>
      </c>
      <c r="F13" s="1">
        <v>0</v>
      </c>
      <c r="G13" s="1">
        <v>0</v>
      </c>
      <c r="H13" s="5">
        <f t="shared" si="0"/>
        <v>0.19231361985569617</v>
      </c>
      <c r="I13" s="4">
        <f t="shared" si="1"/>
        <v>1</v>
      </c>
      <c r="J13" s="3">
        <v>0</v>
      </c>
      <c r="K13" s="8">
        <v>1.8433110117912199</v>
      </c>
      <c r="L13" s="8">
        <v>0.72950000000000004</v>
      </c>
      <c r="M13" s="8">
        <v>1.05520063638687</v>
      </c>
      <c r="N13" s="8">
        <v>2.2349999999999999</v>
      </c>
      <c r="O13" s="8">
        <v>1.6364999999999998</v>
      </c>
      <c r="P13" s="8">
        <f t="shared" si="3"/>
        <v>1.6422335454622898</v>
      </c>
      <c r="Q13" s="11">
        <v>0</v>
      </c>
    </row>
    <row r="14" spans="1:17" x14ac:dyDescent="0.15">
      <c r="A14" s="1" t="s">
        <v>18</v>
      </c>
      <c r="B14" s="1">
        <v>26</v>
      </c>
      <c r="C14" s="1" t="s">
        <v>34</v>
      </c>
      <c r="D14" s="1">
        <v>235.174880981445</v>
      </c>
      <c r="E14" s="1">
        <v>45.384010314941399</v>
      </c>
      <c r="F14" s="1">
        <v>10.144076347351101</v>
      </c>
      <c r="G14" s="1">
        <v>6.0381407737731898</v>
      </c>
      <c r="H14" s="5">
        <f t="shared" si="0"/>
        <v>0.19297983749600425</v>
      </c>
      <c r="I14" s="4">
        <f t="shared" si="1"/>
        <v>0.77648347343135837</v>
      </c>
      <c r="J14" s="6">
        <f t="shared" si="2"/>
        <v>0.40476189580829453</v>
      </c>
      <c r="K14" s="8">
        <v>-8.1587247550487501E-3</v>
      </c>
      <c r="L14" s="8">
        <v>0.35199999999999998</v>
      </c>
      <c r="M14" s="8">
        <v>0.24386175597707399</v>
      </c>
      <c r="N14" s="8">
        <v>0.97</v>
      </c>
      <c r="O14" s="8">
        <v>0.78700000000000003</v>
      </c>
      <c r="P14" s="8">
        <f t="shared" si="3"/>
        <v>0.66695391865902465</v>
      </c>
      <c r="Q14" s="11">
        <v>1</v>
      </c>
    </row>
    <row r="15" spans="1:17" x14ac:dyDescent="0.15">
      <c r="A15" s="1" t="s">
        <v>19</v>
      </c>
      <c r="B15" s="1">
        <v>27</v>
      </c>
      <c r="C15" s="1" t="s">
        <v>34</v>
      </c>
      <c r="D15" s="1">
        <v>250.06622314453099</v>
      </c>
      <c r="E15" s="1">
        <v>0.656152963638306</v>
      </c>
      <c r="F15" s="1">
        <v>0.656152963638306</v>
      </c>
      <c r="G15" s="1">
        <v>0.656152963638306</v>
      </c>
      <c r="H15" s="5">
        <f t="shared" si="0"/>
        <v>2.6239167984676952E-3</v>
      </c>
      <c r="I15" s="3">
        <f t="shared" si="1"/>
        <v>0</v>
      </c>
      <c r="J15" s="3">
        <f t="shared" si="2"/>
        <v>0</v>
      </c>
      <c r="K15" s="8">
        <v>1.4979375600814799</v>
      </c>
      <c r="L15" s="8">
        <v>-6.6000000000000003E-2</v>
      </c>
      <c r="M15" s="8">
        <v>0.92273712158203003</v>
      </c>
      <c r="N15" s="8">
        <v>0.47</v>
      </c>
      <c r="O15" s="8">
        <v>0.65900000000000003</v>
      </c>
      <c r="P15" s="8">
        <f t="shared" si="3"/>
        <v>0.6839123738606766</v>
      </c>
      <c r="Q15" s="11">
        <v>2</v>
      </c>
    </row>
    <row r="16" spans="1:17" x14ac:dyDescent="0.15">
      <c r="A16" s="1" t="s">
        <v>14</v>
      </c>
      <c r="B16" s="1">
        <v>28</v>
      </c>
      <c r="C16" s="1" t="s">
        <v>33</v>
      </c>
      <c r="D16" s="1">
        <v>183.11169433593699</v>
      </c>
      <c r="E16" s="1">
        <v>34.058158874511697</v>
      </c>
      <c r="F16" s="1">
        <v>34.058158874511697</v>
      </c>
      <c r="G16" s="1">
        <v>6.6408419609069798</v>
      </c>
      <c r="H16" s="5">
        <f t="shared" si="0"/>
        <v>0.18599663444776252</v>
      </c>
      <c r="I16" s="3">
        <f t="shared" si="1"/>
        <v>0</v>
      </c>
      <c r="J16" s="6">
        <f t="shared" si="2"/>
        <v>0.80501465198470179</v>
      </c>
      <c r="K16" s="8">
        <v>-0.154092527925968</v>
      </c>
      <c r="L16" s="8">
        <v>0.11650000000000001</v>
      </c>
      <c r="M16" s="8">
        <v>0.41025272508462202</v>
      </c>
      <c r="N16" s="8">
        <v>-0.09</v>
      </c>
      <c r="O16" s="8">
        <v>0.1855</v>
      </c>
      <c r="P16" s="8">
        <f t="shared" si="3"/>
        <v>0.16858424169487399</v>
      </c>
      <c r="Q16" s="11">
        <v>1</v>
      </c>
    </row>
    <row r="17" spans="1:17" x14ac:dyDescent="0.15">
      <c r="A17" s="1" t="s">
        <v>12</v>
      </c>
      <c r="B17" s="1">
        <v>29</v>
      </c>
      <c r="C17" s="1" t="s">
        <v>33</v>
      </c>
      <c r="D17" s="1">
        <v>340.80529785156301</v>
      </c>
      <c r="E17" s="1">
        <v>135.47985839843699</v>
      </c>
      <c r="F17" s="1">
        <v>45.566978454589801</v>
      </c>
      <c r="G17" s="1">
        <v>15.561123847961399</v>
      </c>
      <c r="H17" s="3">
        <f t="shared" si="0"/>
        <v>0.39752861605292572</v>
      </c>
      <c r="I17" s="4">
        <f t="shared" si="1"/>
        <v>0.66366234071059893</v>
      </c>
      <c r="J17" s="6">
        <f t="shared" si="2"/>
        <v>0.65849998451249114</v>
      </c>
      <c r="K17" s="8">
        <v>-0.38586610555648798</v>
      </c>
      <c r="L17" s="8">
        <v>1.4484999999999999</v>
      </c>
      <c r="M17" s="8">
        <v>1.49300042788187</v>
      </c>
      <c r="N17" s="8">
        <v>0.67999999999999994</v>
      </c>
      <c r="O17" s="8">
        <v>0.78200000000000003</v>
      </c>
      <c r="P17" s="8">
        <f t="shared" si="3"/>
        <v>0.98500014262728997</v>
      </c>
      <c r="Q17" s="11">
        <v>13</v>
      </c>
    </row>
    <row r="18" spans="1:17" x14ac:dyDescent="0.15">
      <c r="A18" s="1" t="s">
        <v>19</v>
      </c>
      <c r="B18" s="1">
        <v>30</v>
      </c>
      <c r="C18" s="1" t="s">
        <v>33</v>
      </c>
      <c r="D18" s="1">
        <v>246.66139221191401</v>
      </c>
      <c r="E18" s="1">
        <v>10.331134796142599</v>
      </c>
      <c r="F18" s="1">
        <v>0</v>
      </c>
      <c r="G18" s="1">
        <v>0</v>
      </c>
      <c r="H18" s="5">
        <f t="shared" si="0"/>
        <v>4.1883874503014319E-2</v>
      </c>
      <c r="I18" s="4">
        <f t="shared" si="1"/>
        <v>1</v>
      </c>
      <c r="J18" s="3">
        <v>0</v>
      </c>
      <c r="K18" s="8">
        <v>3.2069379091262702</v>
      </c>
      <c r="L18" s="8">
        <v>-8.6999999999999994E-2</v>
      </c>
      <c r="M18" s="8">
        <v>1.1421921364962999</v>
      </c>
      <c r="N18" s="8">
        <v>0.6</v>
      </c>
      <c r="O18" s="8">
        <v>0.67599999999999993</v>
      </c>
      <c r="P18" s="8">
        <f t="shared" si="3"/>
        <v>0.80606404549876665</v>
      </c>
      <c r="Q18" s="11">
        <v>3</v>
      </c>
    </row>
    <row r="19" spans="1:17" x14ac:dyDescent="0.15">
      <c r="A19" s="1" t="s">
        <v>20</v>
      </c>
      <c r="B19" s="1">
        <v>31</v>
      </c>
      <c r="C19" s="1" t="s">
        <v>33</v>
      </c>
      <c r="D19" s="1">
        <v>294.35989379882801</v>
      </c>
      <c r="E19" s="1">
        <v>26.297014236450199</v>
      </c>
      <c r="F19" s="1">
        <v>26.297014236450199</v>
      </c>
      <c r="G19" s="1">
        <v>20.8062648773193</v>
      </c>
      <c r="H19" s="5">
        <f t="shared" si="0"/>
        <v>8.9336267577342421E-2</v>
      </c>
      <c r="I19" s="3">
        <f t="shared" si="1"/>
        <v>0</v>
      </c>
      <c r="J19" s="6">
        <f t="shared" si="2"/>
        <v>0.20879744406572934</v>
      </c>
      <c r="K19" s="8">
        <v>-0.96977508068084695</v>
      </c>
      <c r="L19" s="8">
        <v>0.41299999999999998</v>
      </c>
      <c r="M19" s="8">
        <v>0.79925628503163604</v>
      </c>
      <c r="N19" s="8">
        <v>0.2</v>
      </c>
      <c r="O19" s="8">
        <v>0.20699999999999999</v>
      </c>
      <c r="P19" s="8">
        <f t="shared" si="3"/>
        <v>0.40208542834387867</v>
      </c>
      <c r="Q19" s="11">
        <v>3</v>
      </c>
    </row>
    <row r="20" spans="1:17" x14ac:dyDescent="0.15">
      <c r="A20" s="1" t="s">
        <v>12</v>
      </c>
      <c r="B20" s="1">
        <v>32</v>
      </c>
      <c r="C20" s="1" t="s">
        <v>33</v>
      </c>
      <c r="D20" s="1">
        <v>336.62973022460898</v>
      </c>
      <c r="E20" s="1">
        <v>84.132095336914105</v>
      </c>
      <c r="F20" s="1">
        <v>61.202995300292997</v>
      </c>
      <c r="G20" s="1">
        <v>27.354347229003899</v>
      </c>
      <c r="H20" s="3">
        <f t="shared" si="0"/>
        <v>0.24992473267521192</v>
      </c>
      <c r="I20" s="4">
        <f t="shared" si="1"/>
        <v>0.27253689504343837</v>
      </c>
      <c r="J20" s="6">
        <f t="shared" si="2"/>
        <v>0.55305541673590364</v>
      </c>
      <c r="K20" s="8">
        <v>-0.259157314896583</v>
      </c>
      <c r="L20" s="8">
        <v>0.75900000000000001</v>
      </c>
      <c r="M20" s="8">
        <v>0.357750787089268</v>
      </c>
      <c r="N20" s="8">
        <v>0.22</v>
      </c>
      <c r="O20" s="8">
        <v>0.38350000000000001</v>
      </c>
      <c r="P20" s="8">
        <f t="shared" si="3"/>
        <v>0.32041692902975599</v>
      </c>
      <c r="Q20" s="11">
        <v>6</v>
      </c>
    </row>
    <row r="21" spans="1:17" x14ac:dyDescent="0.15">
      <c r="A21" s="1" t="s">
        <v>15</v>
      </c>
      <c r="B21" s="1">
        <v>33</v>
      </c>
      <c r="C21" s="1" t="s">
        <v>33</v>
      </c>
      <c r="D21" s="1">
        <v>283.46893310546898</v>
      </c>
      <c r="E21" s="1">
        <v>91.823471069335895</v>
      </c>
      <c r="F21" s="1">
        <v>46.8488159179688</v>
      </c>
      <c r="G21" s="1">
        <v>46.8488159179688</v>
      </c>
      <c r="H21" s="3">
        <f t="shared" si="0"/>
        <v>0.32392781128918829</v>
      </c>
      <c r="I21" s="4">
        <f t="shared" si="1"/>
        <v>0.48979476192319865</v>
      </c>
      <c r="J21" s="3">
        <f t="shared" si="2"/>
        <v>0</v>
      </c>
      <c r="K21" s="8">
        <v>1.7311176657676699</v>
      </c>
      <c r="L21" s="8">
        <v>-5.6000000000000001E-2</v>
      </c>
      <c r="M21" s="8">
        <v>0.72209363679091099</v>
      </c>
      <c r="N21" s="8">
        <v>1.02</v>
      </c>
      <c r="O21" s="8">
        <v>0.3135</v>
      </c>
      <c r="P21" s="8">
        <f t="shared" si="3"/>
        <v>0.68519787893030371</v>
      </c>
      <c r="Q21" s="11">
        <v>1</v>
      </c>
    </row>
    <row r="22" spans="1:17" x14ac:dyDescent="0.15">
      <c r="A22" s="1" t="s">
        <v>15</v>
      </c>
      <c r="B22" s="1">
        <v>34</v>
      </c>
      <c r="C22" s="1" t="s">
        <v>33</v>
      </c>
      <c r="D22" s="1">
        <v>274.792236328125</v>
      </c>
      <c r="E22" s="1">
        <v>30.833580017089801</v>
      </c>
      <c r="F22" s="1">
        <v>2.09202933311462</v>
      </c>
      <c r="G22" s="1">
        <v>2.09202933311462</v>
      </c>
      <c r="H22" s="5">
        <f t="shared" si="0"/>
        <v>0.11220688193050665</v>
      </c>
      <c r="I22" s="4">
        <f t="shared" si="1"/>
        <v>0.93215094283715694</v>
      </c>
      <c r="J22" s="3">
        <f t="shared" si="2"/>
        <v>0</v>
      </c>
      <c r="K22" s="8">
        <v>1.4393217563629099</v>
      </c>
      <c r="L22" s="8">
        <v>0.93300000000000005</v>
      </c>
      <c r="M22" s="8">
        <v>2.7388207912445002</v>
      </c>
      <c r="N22" s="8">
        <v>0.79</v>
      </c>
      <c r="O22" s="8">
        <v>1.2685</v>
      </c>
      <c r="P22" s="8">
        <f t="shared" si="3"/>
        <v>1.5991069304148333</v>
      </c>
      <c r="Q22" s="11">
        <v>5</v>
      </c>
    </row>
    <row r="23" spans="1:17" x14ac:dyDescent="0.15">
      <c r="A23" s="1" t="s">
        <v>12</v>
      </c>
      <c r="B23" s="1">
        <v>35</v>
      </c>
      <c r="C23" s="1" t="s">
        <v>33</v>
      </c>
      <c r="D23" s="1">
        <v>332.05773925781301</v>
      </c>
      <c r="E23" s="1">
        <v>134.10877990722699</v>
      </c>
      <c r="F23" s="1">
        <v>134.10877990722699</v>
      </c>
      <c r="G23" s="1">
        <v>121.92781829834</v>
      </c>
      <c r="H23" s="3">
        <f t="shared" si="0"/>
        <v>0.40387186941335995</v>
      </c>
      <c r="I23" s="3">
        <f t="shared" si="1"/>
        <v>0</v>
      </c>
      <c r="J23" s="6">
        <f t="shared" si="2"/>
        <v>9.0828964496682957E-2</v>
      </c>
      <c r="K23" s="8">
        <v>-7.7577060088515296E-2</v>
      </c>
      <c r="L23" s="8">
        <v>9.6500000000000002E-2</v>
      </c>
      <c r="M23" s="8">
        <v>0.56193624933560604</v>
      </c>
      <c r="N23" s="8">
        <v>0.38</v>
      </c>
      <c r="O23" s="8">
        <v>0.32150000000000001</v>
      </c>
      <c r="P23" s="8">
        <f t="shared" si="3"/>
        <v>0.42114541644520198</v>
      </c>
      <c r="Q23" s="11">
        <v>5</v>
      </c>
    </row>
    <row r="24" spans="1:17" x14ac:dyDescent="0.15">
      <c r="A24" s="1" t="s">
        <v>10</v>
      </c>
      <c r="B24" s="1">
        <v>36</v>
      </c>
      <c r="C24" s="1" t="s">
        <v>33</v>
      </c>
      <c r="D24" s="1">
        <v>311.09899902343801</v>
      </c>
      <c r="E24" s="1">
        <v>151.78662109375</v>
      </c>
      <c r="F24" s="1">
        <v>141.28633117675801</v>
      </c>
      <c r="G24" s="1">
        <v>141.28633117675801</v>
      </c>
      <c r="H24" s="3">
        <f t="shared" si="0"/>
        <v>0.48790456276046867</v>
      </c>
      <c r="I24" s="4">
        <f t="shared" si="1"/>
        <v>6.9177967342105559E-2</v>
      </c>
      <c r="J24" s="3">
        <f t="shared" si="2"/>
        <v>0</v>
      </c>
      <c r="K24" s="8">
        <v>-0.19254690408706601</v>
      </c>
      <c r="L24" s="8">
        <v>0.156</v>
      </c>
      <c r="M24" s="8">
        <v>0.63969402511914597</v>
      </c>
      <c r="N24" s="8">
        <v>0.9</v>
      </c>
      <c r="O24" s="8">
        <v>0.20200000000000001</v>
      </c>
      <c r="P24" s="8">
        <f t="shared" si="3"/>
        <v>0.58056467503971532</v>
      </c>
      <c r="Q24" s="11">
        <v>1</v>
      </c>
    </row>
    <row r="25" spans="1:17" x14ac:dyDescent="0.15">
      <c r="A25" s="1" t="s">
        <v>14</v>
      </c>
      <c r="B25" s="1">
        <v>37</v>
      </c>
      <c r="C25" s="1" t="s">
        <v>33</v>
      </c>
      <c r="D25" s="1">
        <v>190.59014892578099</v>
      </c>
      <c r="E25" s="1">
        <v>24.957447052001999</v>
      </c>
      <c r="F25" s="1">
        <v>14.9875087738037</v>
      </c>
      <c r="G25" s="1">
        <v>14.9875087738037</v>
      </c>
      <c r="H25" s="5">
        <f t="shared" si="0"/>
        <v>0.130948253058561</v>
      </c>
      <c r="I25" s="4">
        <f t="shared" si="1"/>
        <v>0.39947748892042806</v>
      </c>
      <c r="J25" s="3">
        <f t="shared" si="2"/>
        <v>0</v>
      </c>
      <c r="K25" s="8">
        <v>-0.11797232553362801</v>
      </c>
      <c r="L25" s="8">
        <v>1.6180000000000001</v>
      </c>
      <c r="M25" s="8">
        <v>0.91706596314907096</v>
      </c>
      <c r="N25" s="8">
        <v>0.51500000000000001</v>
      </c>
      <c r="O25" s="8">
        <v>0.42600000000000005</v>
      </c>
      <c r="P25" s="8">
        <f t="shared" si="3"/>
        <v>0.61935532104969038</v>
      </c>
      <c r="Q25" s="11">
        <v>8</v>
      </c>
    </row>
    <row r="26" spans="1:17" x14ac:dyDescent="0.15">
      <c r="A26" s="1" t="s">
        <v>21</v>
      </c>
      <c r="B26" s="1">
        <v>38</v>
      </c>
      <c r="C26" s="1" t="s">
        <v>36</v>
      </c>
      <c r="D26" s="1">
        <v>254.13682556152301</v>
      </c>
      <c r="E26" s="1">
        <v>137.95742797851599</v>
      </c>
      <c r="F26" s="1">
        <v>34.805335998535199</v>
      </c>
      <c r="G26" s="1">
        <v>34.805335998535199</v>
      </c>
      <c r="H26" s="3">
        <f t="shared" si="0"/>
        <v>0.54284705757890417</v>
      </c>
      <c r="I26" s="4">
        <f t="shared" si="1"/>
        <v>0.74770959049805275</v>
      </c>
      <c r="J26" s="3">
        <f t="shared" si="2"/>
        <v>0</v>
      </c>
      <c r="K26" s="8">
        <v>-0.57853919267654397</v>
      </c>
      <c r="L26" s="8">
        <v>0.60099999999999998</v>
      </c>
      <c r="M26" s="8">
        <v>1.2977849642435699</v>
      </c>
      <c r="N26" s="8">
        <v>1.155</v>
      </c>
      <c r="O26" s="8">
        <v>0.5575</v>
      </c>
      <c r="P26" s="8">
        <f t="shared" si="3"/>
        <v>1.0034283214145232</v>
      </c>
      <c r="Q26" s="11">
        <v>4</v>
      </c>
    </row>
    <row r="27" spans="1:17" x14ac:dyDescent="0.15">
      <c r="A27" s="1" t="s">
        <v>22</v>
      </c>
      <c r="B27" s="1">
        <v>39</v>
      </c>
      <c r="C27" s="1" t="s">
        <v>36</v>
      </c>
      <c r="D27" s="1">
        <v>337.295166015625</v>
      </c>
      <c r="E27" s="1">
        <v>169.23013305664099</v>
      </c>
      <c r="F27" s="1">
        <v>21.579666137695298</v>
      </c>
      <c r="G27" s="1">
        <v>21.579666137695298</v>
      </c>
      <c r="H27" s="3">
        <f t="shared" si="0"/>
        <v>0.50172712243614404</v>
      </c>
      <c r="I27" s="4">
        <f t="shared" si="1"/>
        <v>0.87248331164242121</v>
      </c>
      <c r="J27" s="3">
        <f t="shared" si="2"/>
        <v>0</v>
      </c>
      <c r="K27" s="8">
        <v>0.73353388905525196</v>
      </c>
      <c r="L27" s="8">
        <v>0.35049999999999998</v>
      </c>
      <c r="M27" s="8">
        <v>1.2833565572897601</v>
      </c>
      <c r="N27" s="8">
        <v>1.95</v>
      </c>
      <c r="O27" s="8">
        <v>1.7109999999999999</v>
      </c>
      <c r="P27" s="8">
        <f t="shared" si="3"/>
        <v>1.64811885242992</v>
      </c>
      <c r="Q27" s="11">
        <v>2</v>
      </c>
    </row>
    <row r="28" spans="1:17" x14ac:dyDescent="0.15">
      <c r="A28" s="1" t="s">
        <v>13</v>
      </c>
      <c r="B28" s="1">
        <v>40</v>
      </c>
      <c r="C28" s="1" t="s">
        <v>35</v>
      </c>
      <c r="D28" s="1">
        <v>221.12579345703099</v>
      </c>
      <c r="E28" s="1">
        <v>63.746379852294901</v>
      </c>
      <c r="F28" s="1">
        <v>11.8485221862793</v>
      </c>
      <c r="G28" s="1">
        <v>11.8485221862793</v>
      </c>
      <c r="H28" s="3">
        <f t="shared" si="0"/>
        <v>0.28828106778362811</v>
      </c>
      <c r="I28" s="4">
        <f t="shared" si="1"/>
        <v>0.81413027353501155</v>
      </c>
      <c r="J28" s="3">
        <f t="shared" si="2"/>
        <v>0</v>
      </c>
      <c r="K28" s="8">
        <v>-3.99862732738255E-2</v>
      </c>
      <c r="L28" s="8">
        <v>0.2</v>
      </c>
      <c r="M28" s="8">
        <v>0.17525346949696499</v>
      </c>
      <c r="N28" s="8">
        <v>0.36</v>
      </c>
      <c r="O28" s="8">
        <v>0.16300000000000001</v>
      </c>
      <c r="P28" s="8">
        <f t="shared" si="3"/>
        <v>0.23275115649898834</v>
      </c>
      <c r="Q28" s="11">
        <v>3</v>
      </c>
    </row>
    <row r="29" spans="1:17" x14ac:dyDescent="0.15">
      <c r="A29" s="1" t="s">
        <v>23</v>
      </c>
      <c r="B29" s="1">
        <v>41</v>
      </c>
      <c r="C29" s="1" t="s">
        <v>35</v>
      </c>
      <c r="D29" s="1">
        <v>285.04553222656301</v>
      </c>
      <c r="E29" s="1">
        <v>184.87118530273401</v>
      </c>
      <c r="F29" s="1">
        <v>148.53207397460901</v>
      </c>
      <c r="G29" s="1">
        <v>145.31770324707</v>
      </c>
      <c r="H29" s="3">
        <f t="shared" si="0"/>
        <v>0.64856720910044874</v>
      </c>
      <c r="I29" s="4">
        <f t="shared" si="1"/>
        <v>0.19656449580619198</v>
      </c>
      <c r="J29" s="6">
        <f t="shared" si="2"/>
        <v>2.1640919981286266E-2</v>
      </c>
      <c r="K29" s="8">
        <v>-3.9015665650367702E-2</v>
      </c>
      <c r="L29" s="8">
        <v>-0.35799999999999998</v>
      </c>
      <c r="M29" s="8">
        <v>0.42003661766648198</v>
      </c>
      <c r="N29" s="8">
        <v>1.07</v>
      </c>
      <c r="O29" s="8">
        <v>0.27350000000000002</v>
      </c>
      <c r="P29" s="8">
        <f t="shared" si="3"/>
        <v>0.58784553922216076</v>
      </c>
      <c r="Q29" s="11">
        <v>3</v>
      </c>
    </row>
    <row r="30" spans="1:17" x14ac:dyDescent="0.15">
      <c r="A30" s="1" t="s">
        <v>12</v>
      </c>
      <c r="B30" s="1">
        <v>42</v>
      </c>
      <c r="C30" s="1" t="s">
        <v>55</v>
      </c>
      <c r="D30" s="1">
        <v>342.27984619140602</v>
      </c>
      <c r="E30" s="1">
        <v>217.264404296875</v>
      </c>
      <c r="F30" s="1">
        <v>157.12065124511699</v>
      </c>
      <c r="G30" s="1">
        <v>27.2672004699707</v>
      </c>
      <c r="H30" s="3">
        <f t="shared" si="0"/>
        <v>0.63475663762972112</v>
      </c>
      <c r="I30" s="4">
        <f t="shared" si="1"/>
        <v>0.27682285667732404</v>
      </c>
      <c r="J30" s="6">
        <f t="shared" si="2"/>
        <v>0.82645692813841287</v>
      </c>
      <c r="K30" s="8">
        <v>0.34079301357269198</v>
      </c>
      <c r="L30" s="8">
        <v>0.433</v>
      </c>
      <c r="M30" s="8">
        <v>3.8201713313659097E-2</v>
      </c>
      <c r="N30" s="8">
        <v>1.22</v>
      </c>
      <c r="O30" s="8">
        <v>0.26100000000000001</v>
      </c>
      <c r="P30" s="8">
        <f t="shared" si="3"/>
        <v>0.50640057110455305</v>
      </c>
      <c r="Q30" s="11">
        <v>2</v>
      </c>
    </row>
    <row r="31" spans="1:17" x14ac:dyDescent="0.15">
      <c r="A31" s="1" t="s">
        <v>19</v>
      </c>
      <c r="B31" s="1">
        <v>43</v>
      </c>
      <c r="C31" s="1" t="s">
        <v>37</v>
      </c>
      <c r="D31" s="1">
        <v>247.48025512695301</v>
      </c>
      <c r="E31" s="1">
        <v>42.987262725830099</v>
      </c>
      <c r="F31" s="1">
        <v>30.669454574585</v>
      </c>
      <c r="G31" s="1">
        <v>3.7643265724182098</v>
      </c>
      <c r="H31" s="5">
        <f t="shared" si="0"/>
        <v>0.1736997672956915</v>
      </c>
      <c r="I31" s="4">
        <f t="shared" si="1"/>
        <v>0.28654553395984433</v>
      </c>
      <c r="J31" s="6">
        <f t="shared" si="2"/>
        <v>0.87726137863770126</v>
      </c>
      <c r="K31" s="8">
        <v>1.91936647891998</v>
      </c>
      <c r="L31" s="8">
        <v>0.53100000000000003</v>
      </c>
      <c r="M31" s="8">
        <v>0.88378610213597597</v>
      </c>
      <c r="N31" s="8">
        <v>0.46</v>
      </c>
      <c r="O31" s="8">
        <v>5.9499999999999997E-2</v>
      </c>
      <c r="P31" s="8">
        <f t="shared" si="3"/>
        <v>0.4677620340453254</v>
      </c>
      <c r="Q31" s="11">
        <v>1</v>
      </c>
    </row>
    <row r="32" spans="1:17" x14ac:dyDescent="0.15">
      <c r="A32" s="1" t="s">
        <v>14</v>
      </c>
      <c r="B32" s="1">
        <v>44</v>
      </c>
      <c r="C32" s="1" t="s">
        <v>35</v>
      </c>
      <c r="D32" s="1">
        <v>182.24636840820301</v>
      </c>
      <c r="E32" s="1">
        <v>45.487495422363303</v>
      </c>
      <c r="F32" s="1">
        <v>15.2161149978638</v>
      </c>
      <c r="G32" s="1">
        <v>0.48305127024650601</v>
      </c>
      <c r="H32" s="3">
        <f t="shared" si="0"/>
        <v>0.2495934257547372</v>
      </c>
      <c r="I32" s="4">
        <f t="shared" si="1"/>
        <v>0.66548795758970269</v>
      </c>
      <c r="J32" s="6">
        <f t="shared" si="2"/>
        <v>0.96825396822287935</v>
      </c>
      <c r="K32" s="8">
        <v>-0.57661184668540999</v>
      </c>
      <c r="L32" s="8">
        <v>0.2555</v>
      </c>
      <c r="M32" s="8">
        <v>0.228159422675768</v>
      </c>
      <c r="N32" s="8">
        <v>0.16</v>
      </c>
      <c r="O32" s="8">
        <v>6.6500000000000004E-2</v>
      </c>
      <c r="P32" s="8">
        <f t="shared" si="3"/>
        <v>0.15155314089192265</v>
      </c>
      <c r="Q32" s="11">
        <v>3</v>
      </c>
    </row>
    <row r="33" spans="1:17" x14ac:dyDescent="0.15">
      <c r="A33" s="1" t="s">
        <v>9</v>
      </c>
      <c r="B33" s="1">
        <v>45</v>
      </c>
      <c r="C33" s="1" t="s">
        <v>35</v>
      </c>
      <c r="D33" s="1">
        <v>207.99481201171901</v>
      </c>
      <c r="E33" s="1">
        <v>77.517799377441406</v>
      </c>
      <c r="F33" s="1">
        <v>61.587841033935497</v>
      </c>
      <c r="G33" s="1">
        <v>34.228218078613303</v>
      </c>
      <c r="H33" s="3">
        <f t="shared" si="0"/>
        <v>0.37269102352934569</v>
      </c>
      <c r="I33" s="4">
        <f t="shared" si="1"/>
        <v>0.20550065238489879</v>
      </c>
      <c r="J33" s="6">
        <f t="shared" si="2"/>
        <v>0.44423740946279927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f t="shared" si="3"/>
        <v>0</v>
      </c>
      <c r="Q33" s="11">
        <v>0</v>
      </c>
    </row>
    <row r="34" spans="1:17" x14ac:dyDescent="0.15">
      <c r="A34" s="1" t="s">
        <v>14</v>
      </c>
      <c r="B34" s="1">
        <v>46</v>
      </c>
      <c r="C34" s="1" t="s">
        <v>39</v>
      </c>
      <c r="D34" s="1">
        <v>185.38398742675801</v>
      </c>
      <c r="E34" s="1">
        <v>48.502048492431598</v>
      </c>
      <c r="F34" s="1">
        <v>18.801551818847699</v>
      </c>
      <c r="G34" s="1">
        <v>18.1453971862793</v>
      </c>
      <c r="H34" s="3">
        <f t="shared" ref="H34:H65" si="4">E34/D34</f>
        <v>0.26163019344696054</v>
      </c>
      <c r="I34" s="4">
        <f t="shared" ref="I34:I65" si="5">(E34-F34)/E34</f>
        <v>0.61235551067948091</v>
      </c>
      <c r="J34" s="6">
        <f t="shared" ref="J34:J41" si="6">(F34-G34)/F34</f>
        <v>3.4898961473522269E-2</v>
      </c>
      <c r="K34" s="8">
        <v>-0.163242258131504</v>
      </c>
      <c r="L34" s="8">
        <v>0.13500000000000001</v>
      </c>
      <c r="M34" s="8">
        <v>0.38847700382272399</v>
      </c>
      <c r="N34" s="8">
        <v>0.4</v>
      </c>
      <c r="O34" s="8">
        <v>0.1855</v>
      </c>
      <c r="P34" s="8">
        <f t="shared" si="3"/>
        <v>0.32465900127424135</v>
      </c>
      <c r="Q34" s="11">
        <v>4</v>
      </c>
    </row>
    <row r="35" spans="1:17" x14ac:dyDescent="0.15">
      <c r="A35" s="1" t="s">
        <v>9</v>
      </c>
      <c r="B35" s="1">
        <v>47</v>
      </c>
      <c r="C35" s="1" t="s">
        <v>39</v>
      </c>
      <c r="D35" s="1">
        <v>203.58079528808599</v>
      </c>
      <c r="E35" s="1">
        <v>45.573097229003899</v>
      </c>
      <c r="F35" s="1">
        <v>0</v>
      </c>
      <c r="G35" s="1">
        <v>0</v>
      </c>
      <c r="H35" s="3">
        <f t="shared" si="4"/>
        <v>0.22385754591691065</v>
      </c>
      <c r="I35" s="4">
        <f t="shared" si="5"/>
        <v>1</v>
      </c>
      <c r="J35" s="3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f t="shared" si="3"/>
        <v>0</v>
      </c>
      <c r="Q35" s="11">
        <v>5</v>
      </c>
    </row>
    <row r="36" spans="1:17" x14ac:dyDescent="0.15">
      <c r="A36" s="1" t="s">
        <v>18</v>
      </c>
      <c r="B36" s="1">
        <v>48</v>
      </c>
      <c r="C36" s="1" t="s">
        <v>38</v>
      </c>
      <c r="D36" s="1">
        <v>243.91728210449199</v>
      </c>
      <c r="E36" s="1">
        <v>0</v>
      </c>
      <c r="F36" s="1">
        <v>0</v>
      </c>
      <c r="G36" s="1">
        <v>0</v>
      </c>
      <c r="H36" s="5">
        <f t="shared" si="4"/>
        <v>0</v>
      </c>
      <c r="I36" s="3">
        <v>0</v>
      </c>
      <c r="J36" s="3">
        <v>0</v>
      </c>
      <c r="K36" s="8">
        <v>-2.0798668861389098</v>
      </c>
      <c r="L36" s="8">
        <v>0.32750000000000001</v>
      </c>
      <c r="M36" s="8">
        <v>1.0623651246229799</v>
      </c>
      <c r="N36" s="8">
        <v>0.41</v>
      </c>
      <c r="O36" s="8">
        <v>0.16549999999999998</v>
      </c>
      <c r="P36" s="8">
        <f t="shared" si="3"/>
        <v>0.54595504154099328</v>
      </c>
      <c r="Q36" s="11">
        <v>3</v>
      </c>
    </row>
    <row r="37" spans="1:17" x14ac:dyDescent="0.15">
      <c r="A37" s="1" t="s">
        <v>19</v>
      </c>
      <c r="B37" s="1">
        <v>49</v>
      </c>
      <c r="C37" s="1" t="s">
        <v>38</v>
      </c>
      <c r="D37" s="1">
        <v>247.94644165039099</v>
      </c>
      <c r="E37" s="1">
        <v>49.995803833007798</v>
      </c>
      <c r="F37" s="1">
        <v>0</v>
      </c>
      <c r="G37" s="1">
        <v>0</v>
      </c>
      <c r="H37" s="3">
        <f t="shared" si="4"/>
        <v>0.20163952948960967</v>
      </c>
      <c r="I37" s="4">
        <v>0</v>
      </c>
      <c r="J37" s="3">
        <v>0</v>
      </c>
      <c r="K37" s="8">
        <v>1.0524119734764099</v>
      </c>
      <c r="L37" s="8">
        <v>0.23050000000000001</v>
      </c>
      <c r="M37" s="8">
        <v>0.41940244783957698</v>
      </c>
      <c r="N37" s="8">
        <v>1</v>
      </c>
      <c r="O37" s="8">
        <v>0.87</v>
      </c>
      <c r="P37" s="8">
        <f t="shared" si="3"/>
        <v>0.76313414927985901</v>
      </c>
      <c r="Q37" s="11">
        <v>3</v>
      </c>
    </row>
    <row r="38" spans="1:17" x14ac:dyDescent="0.15">
      <c r="A38" s="1" t="s">
        <v>22</v>
      </c>
      <c r="B38" s="1">
        <v>50</v>
      </c>
      <c r="C38" s="1" t="s">
        <v>38</v>
      </c>
      <c r="D38" s="1">
        <v>328.23669433593801</v>
      </c>
      <c r="E38" s="1">
        <v>178.44613647460901</v>
      </c>
      <c r="F38" s="1">
        <v>4.10593557357788</v>
      </c>
      <c r="G38" s="1">
        <v>4.10593557357788</v>
      </c>
      <c r="H38" s="3">
        <f t="shared" si="4"/>
        <v>0.54365078479609608</v>
      </c>
      <c r="I38" s="4">
        <v>0</v>
      </c>
      <c r="J38" s="3">
        <f t="shared" si="6"/>
        <v>0</v>
      </c>
      <c r="K38" s="8">
        <v>1.01959112286567</v>
      </c>
      <c r="L38" s="8">
        <v>1.8674999999999999</v>
      </c>
      <c r="M38" s="8">
        <v>1.7352441350618999</v>
      </c>
      <c r="N38" s="8">
        <v>1.78</v>
      </c>
      <c r="O38" s="8">
        <v>0.82099999999999995</v>
      </c>
      <c r="P38" s="8">
        <f t="shared" si="3"/>
        <v>1.4454147116873</v>
      </c>
      <c r="Q38" s="11">
        <v>4</v>
      </c>
    </row>
    <row r="39" spans="1:17" x14ac:dyDescent="0.15">
      <c r="A39" s="1" t="s">
        <v>15</v>
      </c>
      <c r="B39" s="1">
        <v>51</v>
      </c>
      <c r="C39" s="1" t="s">
        <v>38</v>
      </c>
      <c r="D39" s="1">
        <v>267.80499267578102</v>
      </c>
      <c r="E39" s="1">
        <v>60.796035766601598</v>
      </c>
      <c r="F39" s="1">
        <v>0</v>
      </c>
      <c r="G39" s="1">
        <v>0</v>
      </c>
      <c r="H39" s="3">
        <f t="shared" si="4"/>
        <v>0.22701606553020659</v>
      </c>
      <c r="I39" s="4">
        <v>0</v>
      </c>
      <c r="J39" s="3">
        <v>0</v>
      </c>
      <c r="K39" s="8">
        <v>2.37136125564574</v>
      </c>
      <c r="L39" s="8">
        <v>0.152</v>
      </c>
      <c r="M39" s="8">
        <v>2.6384742458661301</v>
      </c>
      <c r="N39" s="8">
        <v>1.355</v>
      </c>
      <c r="O39" s="8">
        <v>1.677</v>
      </c>
      <c r="P39" s="8">
        <f t="shared" si="3"/>
        <v>1.8901580819553765</v>
      </c>
      <c r="Q39" s="11">
        <v>4</v>
      </c>
    </row>
    <row r="40" spans="1:17" x14ac:dyDescent="0.15">
      <c r="A40" s="1" t="s">
        <v>9</v>
      </c>
      <c r="B40" s="1">
        <v>52</v>
      </c>
      <c r="C40" s="1" t="s">
        <v>38</v>
      </c>
      <c r="D40" s="1">
        <v>217.14639282226599</v>
      </c>
      <c r="E40" s="1">
        <v>0</v>
      </c>
      <c r="F40" s="1">
        <v>0</v>
      </c>
      <c r="G40" s="1">
        <v>0</v>
      </c>
      <c r="H40" s="5">
        <f t="shared" si="4"/>
        <v>0</v>
      </c>
      <c r="I40" s="3">
        <v>0</v>
      </c>
      <c r="J40" s="3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f t="shared" si="3"/>
        <v>0</v>
      </c>
      <c r="Q40" s="11">
        <v>1</v>
      </c>
    </row>
    <row r="41" spans="1:17" x14ac:dyDescent="0.15">
      <c r="A41" s="1" t="s">
        <v>9</v>
      </c>
      <c r="B41" s="1">
        <v>53</v>
      </c>
      <c r="C41" s="1" t="s">
        <v>38</v>
      </c>
      <c r="D41" s="1">
        <v>206.214767456055</v>
      </c>
      <c r="E41" s="1">
        <v>40.347702026367202</v>
      </c>
      <c r="F41" s="1">
        <v>4.0206556320190403</v>
      </c>
      <c r="G41" s="1">
        <v>4.0206556320190403</v>
      </c>
      <c r="H41" s="5">
        <f t="shared" si="4"/>
        <v>0.19565864522755588</v>
      </c>
      <c r="I41" s="4">
        <v>0</v>
      </c>
      <c r="J41" s="3">
        <f t="shared" si="6"/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f t="shared" si="3"/>
        <v>0</v>
      </c>
      <c r="Q41" s="11">
        <v>4</v>
      </c>
    </row>
    <row r="42" spans="1:17" x14ac:dyDescent="0.15">
      <c r="A42" s="1" t="s">
        <v>19</v>
      </c>
      <c r="B42" s="1">
        <v>54</v>
      </c>
      <c r="C42" s="1" t="s">
        <v>38</v>
      </c>
      <c r="D42" s="1">
        <v>251.24972534179699</v>
      </c>
      <c r="E42" s="1">
        <v>70.283958435058594</v>
      </c>
      <c r="F42" s="1">
        <v>0</v>
      </c>
      <c r="G42" s="1">
        <v>0</v>
      </c>
      <c r="H42" s="3">
        <f t="shared" si="4"/>
        <v>0.27973745379998</v>
      </c>
      <c r="I42" s="4">
        <v>0</v>
      </c>
      <c r="J42" s="3">
        <v>0</v>
      </c>
      <c r="K42" s="8">
        <v>0.325868859887122</v>
      </c>
      <c r="L42" s="8">
        <v>0.377</v>
      </c>
      <c r="M42" s="8">
        <v>0.99354144930839505</v>
      </c>
      <c r="N42" s="8">
        <v>1.02</v>
      </c>
      <c r="O42" s="8">
        <v>0.91749999999999998</v>
      </c>
      <c r="P42" s="8">
        <f t="shared" si="3"/>
        <v>0.97701381643613161</v>
      </c>
      <c r="Q42" s="11">
        <v>3</v>
      </c>
    </row>
    <row r="43" spans="1:17" x14ac:dyDescent="0.15">
      <c r="A43" s="1" t="s">
        <v>15</v>
      </c>
      <c r="B43" s="1">
        <v>55</v>
      </c>
      <c r="C43" s="1" t="s">
        <v>38</v>
      </c>
      <c r="D43" s="1">
        <v>284.62753295898398</v>
      </c>
      <c r="E43" s="1">
        <v>70.658073425292997</v>
      </c>
      <c r="F43" s="1">
        <v>1.85050368309021</v>
      </c>
      <c r="G43" s="1">
        <v>1.85050368309021</v>
      </c>
      <c r="H43" s="3">
        <f t="shared" si="4"/>
        <v>0.24824749977886054</v>
      </c>
      <c r="I43" s="4">
        <v>0</v>
      </c>
      <c r="J43" s="3">
        <v>0</v>
      </c>
      <c r="K43" s="8">
        <v>2.4095083475112902</v>
      </c>
      <c r="L43" s="8">
        <v>0.46100000000000002</v>
      </c>
      <c r="M43" s="8">
        <v>2.8814450899759798</v>
      </c>
      <c r="N43" s="8">
        <v>1.81</v>
      </c>
      <c r="O43" s="8">
        <v>0.45599999999999996</v>
      </c>
      <c r="P43" s="8">
        <f t="shared" si="3"/>
        <v>1.7158150299919932</v>
      </c>
      <c r="Q43" s="11">
        <v>0</v>
      </c>
    </row>
    <row r="44" spans="1:17" x14ac:dyDescent="0.15">
      <c r="A44" s="1" t="s">
        <v>23</v>
      </c>
      <c r="B44" s="1">
        <v>56</v>
      </c>
      <c r="C44" s="1" t="s">
        <v>38</v>
      </c>
      <c r="D44" s="1">
        <v>283.97714233398398</v>
      </c>
      <c r="E44" s="1">
        <v>36.848854064941399</v>
      </c>
      <c r="F44" s="1">
        <v>25.048488616943398</v>
      </c>
      <c r="G44" s="1">
        <v>25.048488616943398</v>
      </c>
      <c r="H44" s="5">
        <f t="shared" si="4"/>
        <v>0.12975992983830953</v>
      </c>
      <c r="I44" s="4">
        <v>0</v>
      </c>
      <c r="J44" s="3">
        <v>0</v>
      </c>
      <c r="K44" s="8">
        <v>1.3901902437210001</v>
      </c>
      <c r="L44" s="8">
        <v>1.7785</v>
      </c>
      <c r="M44" s="8">
        <v>1.0815675258636499</v>
      </c>
      <c r="N44" s="8">
        <v>1.2050000000000001</v>
      </c>
      <c r="O44" s="8">
        <v>0.72750000000000004</v>
      </c>
      <c r="P44" s="8">
        <f t="shared" si="3"/>
        <v>1.0046891752878835</v>
      </c>
      <c r="Q44" s="11">
        <v>11</v>
      </c>
    </row>
    <row r="45" spans="1:17" x14ac:dyDescent="0.15">
      <c r="A45" s="1" t="s">
        <v>22</v>
      </c>
      <c r="B45" s="1">
        <v>57</v>
      </c>
      <c r="C45" s="1" t="s">
        <v>38</v>
      </c>
      <c r="D45" s="1">
        <v>328.45831298828102</v>
      </c>
      <c r="E45" s="1">
        <v>145.54132080078099</v>
      </c>
      <c r="F45" s="1">
        <v>22.700000762939499</v>
      </c>
      <c r="G45" s="1">
        <v>22.700000762939499</v>
      </c>
      <c r="H45" s="3">
        <f t="shared" si="4"/>
        <v>0.44310439116812284</v>
      </c>
      <c r="I45" s="4">
        <v>0</v>
      </c>
      <c r="J45" s="3">
        <v>0</v>
      </c>
      <c r="K45" s="8">
        <v>1.7795580029487501</v>
      </c>
      <c r="L45" s="8">
        <v>0.20449999999999999</v>
      </c>
      <c r="M45" s="8">
        <v>0.54444610079129496</v>
      </c>
      <c r="N45" s="8">
        <v>1.895</v>
      </c>
      <c r="O45" s="8">
        <v>0.59799999999999998</v>
      </c>
      <c r="P45" s="8">
        <f t="shared" si="3"/>
        <v>1.0124820335970983</v>
      </c>
      <c r="Q45" s="11">
        <v>1</v>
      </c>
    </row>
    <row r="46" spans="1:17" x14ac:dyDescent="0.15">
      <c r="A46" s="1" t="s">
        <v>15</v>
      </c>
      <c r="B46" s="1">
        <v>58</v>
      </c>
      <c r="C46" s="1" t="s">
        <v>38</v>
      </c>
      <c r="D46" s="1">
        <v>272.45645141601602</v>
      </c>
      <c r="E46" s="1">
        <v>64.728866577148395</v>
      </c>
      <c r="F46" s="1">
        <v>0.24152563512325301</v>
      </c>
      <c r="G46" s="1">
        <v>0.24152563512325301</v>
      </c>
      <c r="H46" s="3">
        <f t="shared" si="4"/>
        <v>0.23757509224222167</v>
      </c>
      <c r="I46" s="4">
        <v>0</v>
      </c>
      <c r="J46" s="3">
        <v>0</v>
      </c>
      <c r="K46" s="8">
        <v>4.03552174568176</v>
      </c>
      <c r="L46" s="8">
        <v>0.06</v>
      </c>
      <c r="M46" s="8">
        <v>0.74090348929166705</v>
      </c>
      <c r="N46" s="8">
        <v>1.0549999999999999</v>
      </c>
      <c r="O46" s="8">
        <v>0.91700000000000004</v>
      </c>
      <c r="P46" s="8">
        <f t="shared" si="3"/>
        <v>0.9043011630972223</v>
      </c>
      <c r="Q46" s="11">
        <v>6</v>
      </c>
    </row>
    <row r="47" spans="1:17" x14ac:dyDescent="0.15">
      <c r="A47" s="1" t="s">
        <v>11</v>
      </c>
      <c r="B47" s="1">
        <v>59</v>
      </c>
      <c r="C47" s="1" t="s">
        <v>38</v>
      </c>
      <c r="D47" s="1">
        <v>242.87876892089801</v>
      </c>
      <c r="E47" s="1">
        <v>46.202171325683601</v>
      </c>
      <c r="F47" s="1">
        <v>0</v>
      </c>
      <c r="G47" s="1">
        <v>0</v>
      </c>
      <c r="H47" s="5">
        <f t="shared" si="4"/>
        <v>0.19022729541556166</v>
      </c>
      <c r="I47" s="4">
        <v>0</v>
      </c>
      <c r="J47" s="3">
        <v>0</v>
      </c>
      <c r="K47" s="8">
        <v>0.53841879963874795</v>
      </c>
      <c r="L47" s="8">
        <v>0.46050000000000002</v>
      </c>
      <c r="M47" s="8">
        <v>1.5871083339055301</v>
      </c>
      <c r="N47" s="8">
        <v>1.1000000000000001</v>
      </c>
      <c r="O47" s="8">
        <v>0.6825</v>
      </c>
      <c r="P47" s="8">
        <f t="shared" si="3"/>
        <v>1.1232027779685101</v>
      </c>
      <c r="Q47" s="11">
        <v>3</v>
      </c>
    </row>
    <row r="48" spans="1:17" x14ac:dyDescent="0.15">
      <c r="A48" s="1" t="s">
        <v>9</v>
      </c>
      <c r="B48" s="1">
        <v>60</v>
      </c>
      <c r="C48" s="1" t="s">
        <v>39</v>
      </c>
      <c r="D48" s="1">
        <v>205.31283569335901</v>
      </c>
      <c r="E48" s="1">
        <v>53.3592720031738</v>
      </c>
      <c r="F48" s="1">
        <v>27.020057678222699</v>
      </c>
      <c r="G48" s="1">
        <v>27.020057678222699</v>
      </c>
      <c r="H48" s="3">
        <f t="shared" si="4"/>
        <v>0.2598925285064374</v>
      </c>
      <c r="I48" s="4">
        <v>0</v>
      </c>
      <c r="J48" s="3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f t="shared" si="3"/>
        <v>0</v>
      </c>
      <c r="Q48" s="11">
        <v>7</v>
      </c>
    </row>
    <row r="49" spans="1:17" x14ac:dyDescent="0.15">
      <c r="A49" s="1" t="s">
        <v>23</v>
      </c>
      <c r="B49" s="1">
        <v>61</v>
      </c>
      <c r="C49" s="1" t="s">
        <v>49</v>
      </c>
      <c r="D49" s="1">
        <v>270.93157958984398</v>
      </c>
      <c r="E49" s="1">
        <v>68.483551025390597</v>
      </c>
      <c r="F49" s="1">
        <v>54.988922119140597</v>
      </c>
      <c r="G49" s="1">
        <v>54.988922119140597</v>
      </c>
      <c r="H49" s="3">
        <f t="shared" si="4"/>
        <v>0.25277064832776602</v>
      </c>
      <c r="I49" s="4">
        <v>0</v>
      </c>
      <c r="J49" s="3">
        <v>0</v>
      </c>
      <c r="K49" s="8">
        <v>1.38530093431472</v>
      </c>
      <c r="L49" s="8">
        <v>0.18</v>
      </c>
      <c r="M49" s="8">
        <v>0.175977585216363</v>
      </c>
      <c r="N49" s="8">
        <v>0.93500000000000005</v>
      </c>
      <c r="O49" s="8">
        <v>0.46899999999999997</v>
      </c>
      <c r="P49" s="8">
        <f t="shared" si="3"/>
        <v>0.526659195072121</v>
      </c>
      <c r="Q49" s="11">
        <v>7</v>
      </c>
    </row>
    <row r="50" spans="1:17" x14ac:dyDescent="0.15">
      <c r="A50" s="1" t="s">
        <v>24</v>
      </c>
      <c r="B50" s="1">
        <v>62</v>
      </c>
      <c r="C50" s="1" t="s">
        <v>38</v>
      </c>
      <c r="D50" s="1">
        <v>269.55459594726602</v>
      </c>
      <c r="E50" s="1">
        <v>39.851726531982401</v>
      </c>
      <c r="F50" s="1">
        <v>5.5550894737243697</v>
      </c>
      <c r="G50" s="1">
        <v>5.5550894737243697</v>
      </c>
      <c r="H50" s="5">
        <f t="shared" si="4"/>
        <v>0.14784287536235793</v>
      </c>
      <c r="I50" s="4">
        <v>0</v>
      </c>
      <c r="J50" s="3">
        <v>0</v>
      </c>
      <c r="K50" s="8">
        <v>2.5830062627792301</v>
      </c>
      <c r="L50" s="8">
        <v>1.5945</v>
      </c>
      <c r="M50" s="8">
        <v>0.97243454058964796</v>
      </c>
      <c r="N50" s="8">
        <v>1.08</v>
      </c>
      <c r="O50" s="8">
        <v>1.1985000000000001</v>
      </c>
      <c r="P50" s="8">
        <f t="shared" si="3"/>
        <v>1.083644846863216</v>
      </c>
      <c r="Q50" s="11">
        <v>1</v>
      </c>
    </row>
    <row r="51" spans="1:17" x14ac:dyDescent="0.15">
      <c r="A51" s="1" t="s">
        <v>15</v>
      </c>
      <c r="B51" s="1">
        <v>63</v>
      </c>
      <c r="C51" s="1" t="s">
        <v>39</v>
      </c>
      <c r="D51" s="1">
        <v>289.15304565429699</v>
      </c>
      <c r="E51" s="1">
        <v>95.174018859863295</v>
      </c>
      <c r="F51" s="1">
        <v>0</v>
      </c>
      <c r="G51" s="1">
        <v>0</v>
      </c>
      <c r="H51" s="3">
        <f t="shared" si="4"/>
        <v>0.32914755798094064</v>
      </c>
      <c r="I51" s="4">
        <v>0</v>
      </c>
      <c r="J51" s="3">
        <v>0</v>
      </c>
      <c r="K51" s="8">
        <v>1.1566948890686</v>
      </c>
      <c r="L51" s="8">
        <v>1.1879999999999999</v>
      </c>
      <c r="M51" s="8">
        <v>1.47960329055786</v>
      </c>
      <c r="N51" s="8">
        <v>1.83</v>
      </c>
      <c r="O51" s="8">
        <v>1.8480000000000001</v>
      </c>
      <c r="P51" s="8">
        <f t="shared" si="3"/>
        <v>1.7192010968526201</v>
      </c>
      <c r="Q51" s="11">
        <v>2</v>
      </c>
    </row>
    <row r="52" spans="1:17" x14ac:dyDescent="0.15">
      <c r="A52" s="1" t="s">
        <v>23</v>
      </c>
      <c r="B52" s="1">
        <v>64</v>
      </c>
      <c r="C52" s="1" t="s">
        <v>49</v>
      </c>
      <c r="D52" s="1">
        <v>278.59075927734398</v>
      </c>
      <c r="E52" s="1">
        <v>114.187149047852</v>
      </c>
      <c r="F52" s="1">
        <v>75.004928588867202</v>
      </c>
      <c r="G52" s="1">
        <v>75.004928588867202</v>
      </c>
      <c r="H52" s="3">
        <f t="shared" si="4"/>
        <v>0.40987414422520696</v>
      </c>
      <c r="I52" s="4">
        <v>0</v>
      </c>
      <c r="J52" s="3">
        <v>0</v>
      </c>
      <c r="K52" s="8">
        <v>-1.9861582666635499E-2</v>
      </c>
      <c r="L52" s="8">
        <v>0.35649999999999998</v>
      </c>
      <c r="M52" s="8">
        <v>0.23116812109947099</v>
      </c>
      <c r="N52" s="8">
        <v>0.58000000000000007</v>
      </c>
      <c r="O52" s="8">
        <v>0.33299999999999996</v>
      </c>
      <c r="P52" s="8">
        <f t="shared" si="3"/>
        <v>0.38138937369982367</v>
      </c>
      <c r="Q52" s="11">
        <v>4</v>
      </c>
    </row>
    <row r="53" spans="1:17" x14ac:dyDescent="0.15">
      <c r="A53" s="1" t="s">
        <v>15</v>
      </c>
      <c r="B53" s="1">
        <v>65</v>
      </c>
      <c r="C53" s="1" t="s">
        <v>38</v>
      </c>
      <c r="D53" s="1">
        <v>276.75811767578102</v>
      </c>
      <c r="E53" s="1">
        <v>53.0123901367188</v>
      </c>
      <c r="F53" s="1">
        <v>53.0123901367188</v>
      </c>
      <c r="G53" s="1">
        <v>53.0123901367188</v>
      </c>
      <c r="H53" s="5">
        <f t="shared" si="4"/>
        <v>0.19154773338508616</v>
      </c>
      <c r="I53" s="3">
        <v>0</v>
      </c>
      <c r="J53" s="3">
        <v>0</v>
      </c>
      <c r="K53" s="8">
        <v>1.0311885476112299</v>
      </c>
      <c r="L53" s="8">
        <v>0.40350000000000003</v>
      </c>
      <c r="M53" s="8">
        <v>-2.4275258183479299E-2</v>
      </c>
      <c r="N53" s="8">
        <v>0.85499999999999998</v>
      </c>
      <c r="O53" s="8">
        <v>0.81600000000000006</v>
      </c>
      <c r="P53" s="8">
        <f t="shared" si="3"/>
        <v>0.54890824727217358</v>
      </c>
      <c r="Q53" s="11">
        <v>2</v>
      </c>
    </row>
    <row r="54" spans="1:17" x14ac:dyDescent="0.15">
      <c r="A54" s="1" t="s">
        <v>9</v>
      </c>
      <c r="B54" s="1">
        <v>66</v>
      </c>
      <c r="C54" s="1" t="s">
        <v>38</v>
      </c>
      <c r="D54" s="1">
        <v>210.37858581543</v>
      </c>
      <c r="E54" s="1">
        <v>0</v>
      </c>
      <c r="F54" s="1">
        <v>0</v>
      </c>
      <c r="G54" s="1">
        <v>0</v>
      </c>
      <c r="H54" s="5">
        <f t="shared" si="4"/>
        <v>0</v>
      </c>
      <c r="I54" s="3">
        <v>0</v>
      </c>
      <c r="J54" s="3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f t="shared" si="3"/>
        <v>0</v>
      </c>
      <c r="Q54" s="11">
        <v>3</v>
      </c>
    </row>
    <row r="55" spans="1:17" x14ac:dyDescent="0.15">
      <c r="A55" s="1" t="s">
        <v>14</v>
      </c>
      <c r="B55" s="1">
        <v>67</v>
      </c>
      <c r="C55" s="1" t="s">
        <v>38</v>
      </c>
      <c r="D55" s="1">
        <v>185.98908996582</v>
      </c>
      <c r="E55" s="1">
        <v>29.233942031860401</v>
      </c>
      <c r="F55" s="1">
        <v>3.8572528362274201</v>
      </c>
      <c r="G55" s="1">
        <v>3.8572528362274201</v>
      </c>
      <c r="H55" s="5">
        <f t="shared" si="4"/>
        <v>0.15718095097531176</v>
      </c>
      <c r="I55" s="4">
        <f t="shared" si="5"/>
        <v>0.86805567199854128</v>
      </c>
      <c r="J55" s="3">
        <v>0</v>
      </c>
      <c r="K55" s="8">
        <v>-0.51683330535888605</v>
      </c>
      <c r="L55" s="8">
        <v>1.345</v>
      </c>
      <c r="M55" s="8">
        <v>0.32796092331409399</v>
      </c>
      <c r="N55" s="8">
        <v>0.52</v>
      </c>
      <c r="O55" s="8">
        <v>0.64599999999999991</v>
      </c>
      <c r="P55" s="8">
        <f t="shared" si="3"/>
        <v>0.49798697443803136</v>
      </c>
      <c r="Q55" s="11">
        <v>3</v>
      </c>
    </row>
    <row r="56" spans="1:17" x14ac:dyDescent="0.15">
      <c r="A56" s="1" t="s">
        <v>21</v>
      </c>
      <c r="B56" s="1">
        <v>68</v>
      </c>
      <c r="C56" s="1" t="s">
        <v>38</v>
      </c>
      <c r="D56" s="1">
        <v>269.4365234375</v>
      </c>
      <c r="E56" s="1">
        <v>79.375396728515597</v>
      </c>
      <c r="F56" s="1">
        <v>69.946548461914105</v>
      </c>
      <c r="G56" s="1">
        <v>69.946548461914105</v>
      </c>
      <c r="H56" s="3">
        <f t="shared" si="4"/>
        <v>0.29459776171335567</v>
      </c>
      <c r="I56" s="4">
        <f t="shared" si="5"/>
        <v>0.11878804585822221</v>
      </c>
      <c r="J56" s="3">
        <v>0</v>
      </c>
      <c r="K56" s="8">
        <v>-0.68715813755988997</v>
      </c>
      <c r="L56" s="8">
        <v>0.60099999999999998</v>
      </c>
      <c r="M56" s="8">
        <v>-1.9502720485130999E-2</v>
      </c>
      <c r="N56" s="8">
        <v>0.7</v>
      </c>
      <c r="O56" s="8">
        <v>0.40300000000000002</v>
      </c>
      <c r="P56" s="8">
        <f t="shared" si="3"/>
        <v>0.36116575983828964</v>
      </c>
      <c r="Q56" s="11">
        <v>2</v>
      </c>
    </row>
    <row r="57" spans="1:17" x14ac:dyDescent="0.15">
      <c r="A57" s="1" t="s">
        <v>9</v>
      </c>
      <c r="B57" s="1">
        <v>69</v>
      </c>
      <c r="C57" s="1" t="s">
        <v>38</v>
      </c>
      <c r="D57" s="1">
        <v>205.07028198242199</v>
      </c>
      <c r="E57" s="1">
        <v>13.9320583343506</v>
      </c>
      <c r="F57" s="1">
        <v>13.9320583343506</v>
      </c>
      <c r="G57" s="1">
        <v>13.9320583343506</v>
      </c>
      <c r="H57" s="5">
        <f t="shared" si="4"/>
        <v>6.7937968386588624E-2</v>
      </c>
      <c r="I57" s="3">
        <f t="shared" si="5"/>
        <v>0</v>
      </c>
      <c r="J57" s="3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f t="shared" si="3"/>
        <v>0</v>
      </c>
      <c r="Q57" s="11">
        <v>3</v>
      </c>
    </row>
    <row r="58" spans="1:17" x14ac:dyDescent="0.15">
      <c r="A58" s="1" t="s">
        <v>9</v>
      </c>
      <c r="B58" s="1">
        <v>70</v>
      </c>
      <c r="C58" s="1" t="s">
        <v>38</v>
      </c>
      <c r="D58" s="1">
        <v>213.98291015625</v>
      </c>
      <c r="E58" s="1">
        <v>3.1398332118988002</v>
      </c>
      <c r="F58" s="1">
        <v>0.72457689046859697</v>
      </c>
      <c r="G58" s="1">
        <v>0.72457689046859697</v>
      </c>
      <c r="H58" s="5">
        <f t="shared" si="4"/>
        <v>1.4673289608063087E-2</v>
      </c>
      <c r="I58" s="4">
        <f t="shared" si="5"/>
        <v>0.76923077069102908</v>
      </c>
      <c r="J58" s="3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f t="shared" si="3"/>
        <v>0</v>
      </c>
      <c r="Q58" s="11">
        <v>0</v>
      </c>
    </row>
    <row r="59" spans="1:17" x14ac:dyDescent="0.15">
      <c r="A59" s="1" t="s">
        <v>12</v>
      </c>
      <c r="B59" s="1">
        <v>71</v>
      </c>
      <c r="C59" s="1" t="s">
        <v>38</v>
      </c>
      <c r="D59" s="1">
        <v>332.50372314453102</v>
      </c>
      <c r="E59" s="1">
        <v>185.55784606933599</v>
      </c>
      <c r="F59" s="1">
        <v>137.62651062011699</v>
      </c>
      <c r="G59" s="1">
        <v>137.62651062011699</v>
      </c>
      <c r="H59" s="3">
        <f t="shared" si="4"/>
        <v>0.55806246111920577</v>
      </c>
      <c r="I59" s="4">
        <f t="shared" si="5"/>
        <v>0.25830939765979427</v>
      </c>
      <c r="J59" s="3">
        <v>0</v>
      </c>
      <c r="K59" s="8">
        <v>0.47949284315109197</v>
      </c>
      <c r="L59" s="8">
        <v>0.48099999999999998</v>
      </c>
      <c r="M59" s="8">
        <v>0.26224956164757401</v>
      </c>
      <c r="N59" s="8">
        <v>0.74500000000000011</v>
      </c>
      <c r="O59" s="8">
        <v>0.16599999999999998</v>
      </c>
      <c r="P59" s="8">
        <f t="shared" si="3"/>
        <v>0.391083187215858</v>
      </c>
      <c r="Q59" s="11">
        <v>5</v>
      </c>
    </row>
    <row r="60" spans="1:17" x14ac:dyDescent="0.15">
      <c r="A60" s="1" t="s">
        <v>25</v>
      </c>
      <c r="B60" s="1">
        <v>72</v>
      </c>
      <c r="C60" s="1" t="s">
        <v>50</v>
      </c>
      <c r="D60" s="1">
        <v>269.48321533203102</v>
      </c>
      <c r="E60" s="1">
        <v>134.47270202636699</v>
      </c>
      <c r="F60" s="1">
        <v>134.47270202636699</v>
      </c>
      <c r="G60" s="1">
        <v>134.47270202636699</v>
      </c>
      <c r="H60" s="3">
        <f t="shared" si="4"/>
        <v>0.49900214327145681</v>
      </c>
      <c r="I60" s="3">
        <f t="shared" si="5"/>
        <v>0</v>
      </c>
      <c r="J60" s="3">
        <v>0</v>
      </c>
      <c r="K60" s="8">
        <v>-0.463425993919372</v>
      </c>
      <c r="L60" s="8">
        <v>0.23300000000000001</v>
      </c>
      <c r="M60" s="8">
        <v>-0.112985372543335</v>
      </c>
      <c r="N60" s="8">
        <v>0.3</v>
      </c>
      <c r="O60" s="8">
        <v>0.11549999999999999</v>
      </c>
      <c r="P60" s="8">
        <f t="shared" si="3"/>
        <v>0.10083820915222165</v>
      </c>
      <c r="Q60" s="11">
        <v>4</v>
      </c>
    </row>
    <row r="61" spans="1:17" x14ac:dyDescent="0.15">
      <c r="A61" s="1" t="s">
        <v>21</v>
      </c>
      <c r="B61" s="1">
        <v>73</v>
      </c>
      <c r="C61" s="1" t="s">
        <v>38</v>
      </c>
      <c r="D61" s="1">
        <v>258.029541015625</v>
      </c>
      <c r="E61" s="1">
        <v>73.305236816406193</v>
      </c>
      <c r="F61" s="1">
        <v>73.305236816406193</v>
      </c>
      <c r="G61" s="1">
        <v>73.305236816406193</v>
      </c>
      <c r="H61" s="3">
        <f t="shared" si="4"/>
        <v>0.28409629582671386</v>
      </c>
      <c r="I61" s="3">
        <f t="shared" si="5"/>
        <v>0</v>
      </c>
      <c r="J61" s="3">
        <v>0</v>
      </c>
      <c r="K61" s="8">
        <v>-8.5123285651206901E-2</v>
      </c>
      <c r="L61" s="8">
        <v>0.47649999999999998</v>
      </c>
      <c r="M61" s="8">
        <v>0.22640457501014</v>
      </c>
      <c r="N61" s="8">
        <v>0.14000000000000001</v>
      </c>
      <c r="O61" s="8">
        <v>0.24199999999999999</v>
      </c>
      <c r="P61" s="8">
        <f t="shared" si="3"/>
        <v>0.20280152500338</v>
      </c>
      <c r="Q61" s="11">
        <v>3</v>
      </c>
    </row>
    <row r="62" spans="1:17" x14ac:dyDescent="0.15">
      <c r="A62" s="1" t="s">
        <v>10</v>
      </c>
      <c r="B62" s="1">
        <v>74</v>
      </c>
      <c r="C62" s="1" t="s">
        <v>42</v>
      </c>
      <c r="D62" s="1">
        <v>308.82571411132801</v>
      </c>
      <c r="E62" s="1">
        <v>184.37881469726599</v>
      </c>
      <c r="F62" s="1">
        <v>184.37881469726599</v>
      </c>
      <c r="G62" s="1">
        <v>141.91709899902301</v>
      </c>
      <c r="H62" s="3">
        <f t="shared" si="4"/>
        <v>0.59703193831456536</v>
      </c>
      <c r="I62" s="3">
        <f t="shared" si="5"/>
        <v>0</v>
      </c>
      <c r="J62" s="6">
        <v>0</v>
      </c>
      <c r="K62" s="8">
        <v>0.16220092028379399</v>
      </c>
      <c r="L62" s="8">
        <v>1.0765</v>
      </c>
      <c r="M62" s="8">
        <v>5.8858039478460897E-2</v>
      </c>
      <c r="N62" s="8">
        <v>0.09</v>
      </c>
      <c r="O62" s="8">
        <v>0.126</v>
      </c>
      <c r="P62" s="8">
        <f t="shared" si="3"/>
        <v>9.1619346492820289E-2</v>
      </c>
      <c r="Q62" s="11">
        <v>9</v>
      </c>
    </row>
    <row r="63" spans="1:17" x14ac:dyDescent="0.15">
      <c r="A63" s="1" t="s">
        <v>10</v>
      </c>
      <c r="B63" s="1">
        <v>75</v>
      </c>
      <c r="C63" s="1" t="s">
        <v>42</v>
      </c>
      <c r="D63" s="1">
        <v>297.24679565429699</v>
      </c>
      <c r="E63" s="1">
        <v>88.873580932617202</v>
      </c>
      <c r="F63" s="1">
        <v>88.873580932617202</v>
      </c>
      <c r="G63" s="1">
        <v>45.029956817627003</v>
      </c>
      <c r="H63" s="3">
        <f t="shared" si="4"/>
        <v>0.29898919763622506</v>
      </c>
      <c r="I63" s="3">
        <f t="shared" si="5"/>
        <v>0</v>
      </c>
      <c r="J63" s="6">
        <v>0</v>
      </c>
      <c r="K63" s="8">
        <v>-0.185160316526889</v>
      </c>
      <c r="L63" s="8">
        <v>0.39150000000000001</v>
      </c>
      <c r="M63" s="8">
        <v>0.45250683774550698</v>
      </c>
      <c r="N63" s="8">
        <v>0.85</v>
      </c>
      <c r="O63" s="8">
        <v>0.10050000000000001</v>
      </c>
      <c r="P63" s="8">
        <f t="shared" si="3"/>
        <v>0.467668945915169</v>
      </c>
      <c r="Q63" s="11">
        <v>6</v>
      </c>
    </row>
    <row r="64" spans="1:17" x14ac:dyDescent="0.15">
      <c r="A64" s="1" t="s">
        <v>11</v>
      </c>
      <c r="B64" s="1">
        <v>76</v>
      </c>
      <c r="C64" s="1" t="s">
        <v>41</v>
      </c>
      <c r="D64" s="1">
        <v>246.00088500976599</v>
      </c>
      <c r="E64" s="1">
        <v>146.162521362305</v>
      </c>
      <c r="F64" s="1">
        <v>87.271018981933594</v>
      </c>
      <c r="G64" s="1">
        <v>52.264156341552699</v>
      </c>
      <c r="H64" s="3">
        <f t="shared" si="4"/>
        <v>0.59415445337321648</v>
      </c>
      <c r="I64" s="4">
        <f t="shared" si="5"/>
        <v>0.40291794251682495</v>
      </c>
      <c r="J64" s="6">
        <v>0</v>
      </c>
      <c r="K64" s="8">
        <v>-0.110069684684276</v>
      </c>
      <c r="L64" s="8">
        <v>0.36099999999999999</v>
      </c>
      <c r="M64" s="8">
        <v>0.13511965299646</v>
      </c>
      <c r="N64" s="8">
        <v>0.8</v>
      </c>
      <c r="O64" s="8">
        <v>0.14050000000000001</v>
      </c>
      <c r="P64" s="8">
        <f t="shared" si="3"/>
        <v>0.35853988433215339</v>
      </c>
      <c r="Q64" s="11">
        <v>1</v>
      </c>
    </row>
    <row r="65" spans="1:17" x14ac:dyDescent="0.15">
      <c r="A65" s="1" t="s">
        <v>12</v>
      </c>
      <c r="B65" s="1">
        <v>77</v>
      </c>
      <c r="C65" s="1" t="s">
        <v>56</v>
      </c>
      <c r="D65" s="1">
        <v>338.72518920898398</v>
      </c>
      <c r="E65" s="1">
        <v>177.60096740722699</v>
      </c>
      <c r="F65" s="1">
        <v>138.49661254882801</v>
      </c>
      <c r="G65" s="1">
        <v>40.248985290527301</v>
      </c>
      <c r="H65" s="3">
        <f t="shared" si="4"/>
        <v>0.52432170108746223</v>
      </c>
      <c r="I65" s="4">
        <f t="shared" si="5"/>
        <v>0.22018097890613028</v>
      </c>
      <c r="J65" s="6">
        <v>0</v>
      </c>
      <c r="K65" s="8">
        <v>0.31382600963115598</v>
      </c>
      <c r="L65" s="8">
        <v>1.464</v>
      </c>
      <c r="M65" s="8">
        <v>0.33432869302729701</v>
      </c>
      <c r="N65" s="8">
        <v>1.1100000000000001</v>
      </c>
      <c r="O65" s="8">
        <v>0.19650000000000001</v>
      </c>
      <c r="P65" s="8">
        <f t="shared" si="3"/>
        <v>0.54694289767576576</v>
      </c>
      <c r="Q65" s="11">
        <v>6</v>
      </c>
    </row>
    <row r="66" spans="1:17" x14ac:dyDescent="0.15">
      <c r="A66" s="1" t="s">
        <v>24</v>
      </c>
      <c r="B66" s="1">
        <v>78</v>
      </c>
      <c r="C66" s="1" t="s">
        <v>43</v>
      </c>
      <c r="D66" s="1">
        <v>275.50354003906301</v>
      </c>
      <c r="E66" s="1">
        <v>66.158386230468693</v>
      </c>
      <c r="F66" s="1">
        <v>0</v>
      </c>
      <c r="G66" s="1">
        <v>0</v>
      </c>
      <c r="H66" s="3">
        <f t="shared" ref="H66:H97" si="7">E66/D66</f>
        <v>0.24013624732766864</v>
      </c>
      <c r="I66" s="4">
        <f t="shared" ref="I66:I97" si="8">(E66-F66)/E66</f>
        <v>1</v>
      </c>
      <c r="J66" s="3">
        <v>0</v>
      </c>
      <c r="K66" s="8">
        <v>3.7427831888198799</v>
      </c>
      <c r="L66" s="8">
        <v>1.1375</v>
      </c>
      <c r="M66" s="8">
        <v>0.89163510998090101</v>
      </c>
      <c r="N66" s="8">
        <v>1.5899999999999999</v>
      </c>
      <c r="O66" s="8">
        <v>1.6074999999999999</v>
      </c>
      <c r="P66" s="8">
        <f t="shared" si="3"/>
        <v>1.3630450366603002</v>
      </c>
      <c r="Q66" s="11">
        <v>2</v>
      </c>
    </row>
    <row r="67" spans="1:17" x14ac:dyDescent="0.15">
      <c r="A67" s="1" t="s">
        <v>24</v>
      </c>
      <c r="B67" s="1">
        <v>79</v>
      </c>
      <c r="C67" s="1" t="s">
        <v>44</v>
      </c>
      <c r="D67" s="1">
        <v>277.06317138671898</v>
      </c>
      <c r="E67" s="1">
        <v>68.593276977539105</v>
      </c>
      <c r="F67" s="1">
        <v>58.9322509765625</v>
      </c>
      <c r="G67" s="1">
        <v>57.483100891113303</v>
      </c>
      <c r="H67" s="3">
        <f t="shared" si="7"/>
        <v>0.24757269843633617</v>
      </c>
      <c r="I67" s="4">
        <f t="shared" si="8"/>
        <v>0.14084508608824903</v>
      </c>
      <c r="J67" s="6">
        <v>0</v>
      </c>
      <c r="K67" s="8">
        <v>9.4349771738051993E-2</v>
      </c>
      <c r="L67" s="8">
        <v>0.83950000000000002</v>
      </c>
      <c r="M67" s="8">
        <v>0.54731820523738794</v>
      </c>
      <c r="N67" s="8">
        <v>1.1000000000000001</v>
      </c>
      <c r="O67" s="8">
        <v>0.253</v>
      </c>
      <c r="P67" s="8">
        <f t="shared" ref="P67:P106" si="9">AVERAGE(M67:O67)</f>
        <v>0.63343940174579594</v>
      </c>
      <c r="Q67" s="11">
        <v>1</v>
      </c>
    </row>
    <row r="68" spans="1:17" x14ac:dyDescent="0.15">
      <c r="A68" s="1" t="s">
        <v>18</v>
      </c>
      <c r="B68" s="1">
        <v>80</v>
      </c>
      <c r="C68" s="1" t="s">
        <v>44</v>
      </c>
      <c r="D68" s="1">
        <v>235.50964355468699</v>
      </c>
      <c r="E68" s="1">
        <v>52.411064147949197</v>
      </c>
      <c r="F68" s="1">
        <v>7.9703459739685103</v>
      </c>
      <c r="G68" s="1">
        <v>7.9703459739685103</v>
      </c>
      <c r="H68" s="3">
        <f t="shared" si="7"/>
        <v>0.22254317639344981</v>
      </c>
      <c r="I68" s="4">
        <f t="shared" si="8"/>
        <v>0.84792627084484817</v>
      </c>
      <c r="J68" s="3">
        <v>0</v>
      </c>
      <c r="K68" s="8">
        <v>-0.304123014211654</v>
      </c>
      <c r="L68" s="8">
        <v>0.65049999999999997</v>
      </c>
      <c r="M68" s="8">
        <v>0.76831246415774002</v>
      </c>
      <c r="N68" s="8">
        <v>0.80499999999999994</v>
      </c>
      <c r="O68" s="8">
        <v>0.45750000000000002</v>
      </c>
      <c r="P68" s="8">
        <f t="shared" si="9"/>
        <v>0.67693748805257992</v>
      </c>
      <c r="Q68" s="11">
        <v>1</v>
      </c>
    </row>
    <row r="69" spans="1:17" x14ac:dyDescent="0.15">
      <c r="A69" s="1" t="s">
        <v>12</v>
      </c>
      <c r="B69" s="1">
        <v>81</v>
      </c>
      <c r="C69" s="1" t="s">
        <v>40</v>
      </c>
      <c r="D69" s="1">
        <v>341.436279296875</v>
      </c>
      <c r="E69" s="1">
        <v>70.390327453613295</v>
      </c>
      <c r="F69" s="1">
        <v>30.221677780151399</v>
      </c>
      <c r="G69" s="1">
        <v>30.221677780151399</v>
      </c>
      <c r="H69" s="3">
        <f t="shared" si="7"/>
        <v>0.20615948486367408</v>
      </c>
      <c r="I69" s="4">
        <f t="shared" si="8"/>
        <v>0.57065581489065731</v>
      </c>
      <c r="J69" s="3">
        <v>0</v>
      </c>
      <c r="K69" s="8">
        <v>0.28283594548702201</v>
      </c>
      <c r="L69" s="8">
        <v>1.169</v>
      </c>
      <c r="M69" s="8">
        <v>0.97849225997924505</v>
      </c>
      <c r="N69" s="8">
        <v>0.745</v>
      </c>
      <c r="O69" s="8">
        <v>0.26650000000000001</v>
      </c>
      <c r="P69" s="8">
        <f t="shared" si="9"/>
        <v>0.663330753326415</v>
      </c>
      <c r="Q69" s="11">
        <v>2</v>
      </c>
    </row>
    <row r="70" spans="1:17" x14ac:dyDescent="0.15">
      <c r="A70" s="1" t="s">
        <v>20</v>
      </c>
      <c r="B70" s="1">
        <v>82</v>
      </c>
      <c r="C70" s="1" t="s">
        <v>40</v>
      </c>
      <c r="D70" s="1">
        <v>301.75250244140602</v>
      </c>
      <c r="E70" s="1">
        <v>0.48305127024650601</v>
      </c>
      <c r="F70" s="1">
        <v>0.48305127024650601</v>
      </c>
      <c r="G70" s="1">
        <v>0.48305127024650601</v>
      </c>
      <c r="H70" s="5">
        <f t="shared" si="7"/>
        <v>1.600819434265684E-3</v>
      </c>
      <c r="I70" s="3">
        <f t="shared" si="8"/>
        <v>0</v>
      </c>
      <c r="J70" s="3">
        <v>0</v>
      </c>
      <c r="K70" s="8">
        <v>1.39437788724899</v>
      </c>
      <c r="L70" s="8">
        <v>0.38200000000000001</v>
      </c>
      <c r="M70" s="8">
        <v>0.184473906022807</v>
      </c>
      <c r="N70" s="8">
        <v>0.32</v>
      </c>
      <c r="O70" s="8">
        <v>0.2175</v>
      </c>
      <c r="P70" s="8">
        <f t="shared" si="9"/>
        <v>0.240657968674269</v>
      </c>
      <c r="Q70" s="11">
        <v>0</v>
      </c>
    </row>
    <row r="71" spans="1:17" x14ac:dyDescent="0.15">
      <c r="A71" s="1" t="s">
        <v>15</v>
      </c>
      <c r="B71" s="1">
        <v>83</v>
      </c>
      <c r="C71" s="1" t="s">
        <v>40</v>
      </c>
      <c r="D71" s="1">
        <v>278.92776489257801</v>
      </c>
      <c r="E71" s="1">
        <v>52.169532775878899</v>
      </c>
      <c r="F71" s="1">
        <v>2.1737306118011501</v>
      </c>
      <c r="G71" s="1">
        <v>2.1737306118011501</v>
      </c>
      <c r="H71" s="5">
        <f t="shared" si="7"/>
        <v>0.18703599763892517</v>
      </c>
      <c r="I71" s="4">
        <f t="shared" si="8"/>
        <v>0.9583333318099756</v>
      </c>
      <c r="J71" s="3">
        <v>0</v>
      </c>
      <c r="K71" s="8">
        <v>3.28098392486572</v>
      </c>
      <c r="L71" s="8">
        <v>0.19950000000000001</v>
      </c>
      <c r="M71" s="8">
        <v>1.3404654860496501</v>
      </c>
      <c r="N71" s="8">
        <v>0.91999999999999993</v>
      </c>
      <c r="O71" s="8">
        <v>1.135</v>
      </c>
      <c r="P71" s="8">
        <f t="shared" si="9"/>
        <v>1.1318218286832167</v>
      </c>
      <c r="Q71" s="11">
        <v>0</v>
      </c>
    </row>
    <row r="72" spans="1:17" x14ac:dyDescent="0.15">
      <c r="A72" s="1" t="s">
        <v>16</v>
      </c>
      <c r="B72" s="1">
        <v>84</v>
      </c>
      <c r="C72" s="1" t="s">
        <v>40</v>
      </c>
      <c r="D72" s="1">
        <v>283.21331787109398</v>
      </c>
      <c r="E72" s="1">
        <v>20.428199768066399</v>
      </c>
      <c r="F72" s="1">
        <v>20.428199768066399</v>
      </c>
      <c r="G72" s="1">
        <v>20.428199768066399</v>
      </c>
      <c r="H72" s="5">
        <f t="shared" si="7"/>
        <v>7.2130081740592447E-2</v>
      </c>
      <c r="I72" s="3">
        <f t="shared" si="8"/>
        <v>0</v>
      </c>
      <c r="J72" s="3">
        <v>0</v>
      </c>
      <c r="K72" s="8">
        <v>1.0547530055045999</v>
      </c>
      <c r="L72" s="8">
        <v>0.11</v>
      </c>
      <c r="M72" s="8">
        <v>0.78021057446797604</v>
      </c>
      <c r="N72" s="8">
        <v>0.20499999999999999</v>
      </c>
      <c r="O72" s="8">
        <v>0.4985</v>
      </c>
      <c r="P72" s="8">
        <f t="shared" si="9"/>
        <v>0.49457019148932529</v>
      </c>
      <c r="Q72" s="11">
        <v>1</v>
      </c>
    </row>
    <row r="73" spans="1:17" x14ac:dyDescent="0.15">
      <c r="A73" s="1" t="s">
        <v>15</v>
      </c>
      <c r="B73" s="1">
        <v>85</v>
      </c>
      <c r="C73" s="1" t="s">
        <v>40</v>
      </c>
      <c r="D73" s="1">
        <v>289.43881225585898</v>
      </c>
      <c r="E73" s="1">
        <v>37.514595031738303</v>
      </c>
      <c r="F73" s="1">
        <v>37.514595031738303</v>
      </c>
      <c r="G73" s="1">
        <v>37.514595031738303</v>
      </c>
      <c r="H73" s="5">
        <f t="shared" si="7"/>
        <v>0.12961148762100377</v>
      </c>
      <c r="I73" s="3">
        <f t="shared" si="8"/>
        <v>0</v>
      </c>
      <c r="J73" s="3">
        <v>0</v>
      </c>
      <c r="K73" s="8">
        <v>0.86151215434074402</v>
      </c>
      <c r="L73" s="8">
        <v>-0.23749999999999999</v>
      </c>
      <c r="M73" s="8">
        <v>0.81736083825429195</v>
      </c>
      <c r="N73" s="8">
        <v>0.48</v>
      </c>
      <c r="O73" s="8">
        <v>0.59399999999999997</v>
      </c>
      <c r="P73" s="8">
        <f t="shared" si="9"/>
        <v>0.63045361275143064</v>
      </c>
      <c r="Q73" s="11">
        <v>1</v>
      </c>
    </row>
    <row r="74" spans="1:17" x14ac:dyDescent="0.15">
      <c r="A74" s="1" t="s">
        <v>9</v>
      </c>
      <c r="B74" s="1">
        <v>86</v>
      </c>
      <c r="C74" s="1" t="s">
        <v>40</v>
      </c>
      <c r="D74" s="1">
        <v>215.74217224121099</v>
      </c>
      <c r="E74" s="1">
        <v>6.3033213615417498</v>
      </c>
      <c r="F74" s="1">
        <v>6.3033213615417498</v>
      </c>
      <c r="G74" s="1">
        <v>6.3033213615417498</v>
      </c>
      <c r="H74" s="5">
        <f t="shared" si="7"/>
        <v>2.9216918027942667E-2</v>
      </c>
      <c r="I74" s="3">
        <f t="shared" si="8"/>
        <v>0</v>
      </c>
      <c r="J74" s="3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f t="shared" si="9"/>
        <v>0</v>
      </c>
      <c r="Q74" s="11">
        <v>0</v>
      </c>
    </row>
    <row r="75" spans="1:17" x14ac:dyDescent="0.15">
      <c r="A75" s="1" t="s">
        <v>24</v>
      </c>
      <c r="B75" s="1">
        <v>87</v>
      </c>
      <c r="C75" s="1" t="s">
        <v>40</v>
      </c>
      <c r="D75" s="1">
        <v>269.47848510742199</v>
      </c>
      <c r="E75" s="1">
        <v>5.0720381736755398</v>
      </c>
      <c r="F75" s="1">
        <v>5.0720381736755398</v>
      </c>
      <c r="G75" s="1">
        <v>5.0720381736755398</v>
      </c>
      <c r="H75" s="5">
        <f t="shared" si="7"/>
        <v>1.8821681336280621E-2</v>
      </c>
      <c r="I75" s="3">
        <f t="shared" si="8"/>
        <v>0</v>
      </c>
      <c r="J75" s="3">
        <v>0</v>
      </c>
      <c r="K75" s="8">
        <v>2.3013094663619902</v>
      </c>
      <c r="L75" s="8">
        <v>-0.42449999999999999</v>
      </c>
      <c r="M75" s="8">
        <v>1.1681977709134399</v>
      </c>
      <c r="N75" s="8">
        <v>0.37</v>
      </c>
      <c r="O75" s="8">
        <v>0.59699999999999998</v>
      </c>
      <c r="P75" s="8">
        <f t="shared" si="9"/>
        <v>0.71173259030448</v>
      </c>
      <c r="Q75" s="11">
        <v>0</v>
      </c>
    </row>
    <row r="76" spans="1:17" x14ac:dyDescent="0.15">
      <c r="A76" s="1" t="s">
        <v>12</v>
      </c>
      <c r="B76" s="1">
        <v>88</v>
      </c>
      <c r="C76" s="1" t="s">
        <v>40</v>
      </c>
      <c r="D76" s="1">
        <v>327.00717163085898</v>
      </c>
      <c r="E76" s="1">
        <v>46.414237976074197</v>
      </c>
      <c r="F76" s="1">
        <v>46.414237976074197</v>
      </c>
      <c r="G76" s="1">
        <v>46.414237976074197</v>
      </c>
      <c r="H76" s="5">
        <f t="shared" si="7"/>
        <v>0.14193645278357614</v>
      </c>
      <c r="I76" s="3">
        <f t="shared" si="8"/>
        <v>0</v>
      </c>
      <c r="J76" s="3">
        <v>0</v>
      </c>
      <c r="K76" s="8">
        <v>0.36907166242599398</v>
      </c>
      <c r="L76" s="8">
        <v>0.17799999999999999</v>
      </c>
      <c r="M76" s="8">
        <v>0.79116402069727498</v>
      </c>
      <c r="N76" s="8">
        <v>0.16</v>
      </c>
      <c r="O76" s="8">
        <v>0.33950000000000002</v>
      </c>
      <c r="P76" s="8">
        <f t="shared" si="9"/>
        <v>0.43022134023242503</v>
      </c>
      <c r="Q76" s="11">
        <v>3</v>
      </c>
    </row>
    <row r="77" spans="1:17" x14ac:dyDescent="0.15">
      <c r="A77" s="1" t="s">
        <v>21</v>
      </c>
      <c r="B77" s="1">
        <v>89</v>
      </c>
      <c r="C77" s="1" t="s">
        <v>40</v>
      </c>
      <c r="D77" s="1">
        <v>266.58737182617199</v>
      </c>
      <c r="E77" s="1">
        <v>112.98566436767599</v>
      </c>
      <c r="F77" s="1">
        <v>112.98566436767599</v>
      </c>
      <c r="G77" s="1">
        <v>112.98566436767599</v>
      </c>
      <c r="H77" s="3">
        <f t="shared" si="7"/>
        <v>0.42382226732535622</v>
      </c>
      <c r="I77" s="3">
        <f t="shared" si="8"/>
        <v>0</v>
      </c>
      <c r="J77" s="3">
        <v>0</v>
      </c>
      <c r="K77" s="8">
        <v>0.41969195008277799</v>
      </c>
      <c r="L77" s="8">
        <v>0.35</v>
      </c>
      <c r="M77" s="8">
        <v>0.17857103794813201</v>
      </c>
      <c r="N77" s="8">
        <v>0.15</v>
      </c>
      <c r="O77" s="8">
        <v>0.155</v>
      </c>
      <c r="P77" s="8">
        <f t="shared" si="9"/>
        <v>0.16119034598271068</v>
      </c>
      <c r="Q77" s="11">
        <v>1</v>
      </c>
    </row>
    <row r="78" spans="1:17" x14ac:dyDescent="0.15">
      <c r="A78" s="1" t="s">
        <v>25</v>
      </c>
      <c r="B78" s="1">
        <v>90</v>
      </c>
      <c r="C78" s="1" t="s">
        <v>52</v>
      </c>
      <c r="D78" s="1">
        <v>254.25399780273401</v>
      </c>
      <c r="E78" s="1">
        <v>48.760337829589801</v>
      </c>
      <c r="F78" s="1">
        <v>46.188835144042997</v>
      </c>
      <c r="G78" s="1">
        <v>46.188835144042997</v>
      </c>
      <c r="H78" s="5">
        <f t="shared" si="7"/>
        <v>0.19177805757619235</v>
      </c>
      <c r="I78" s="4">
        <f t="shared" si="8"/>
        <v>5.2737589606819936E-2</v>
      </c>
      <c r="J78" s="3">
        <v>0</v>
      </c>
      <c r="K78" s="8">
        <v>2.6268134117126398</v>
      </c>
      <c r="L78" s="8">
        <v>1.246</v>
      </c>
      <c r="M78" s="8">
        <v>0.177927007588247</v>
      </c>
      <c r="N78" s="8">
        <v>0.22</v>
      </c>
      <c r="O78" s="8">
        <v>0.29299999999999998</v>
      </c>
      <c r="P78" s="8">
        <f t="shared" si="9"/>
        <v>0.23030900252941566</v>
      </c>
      <c r="Q78" s="11">
        <v>5</v>
      </c>
    </row>
    <row r="79" spans="1:17" x14ac:dyDescent="0.15">
      <c r="A79" s="1" t="s">
        <v>23</v>
      </c>
      <c r="B79" s="1">
        <v>91</v>
      </c>
      <c r="C79" s="1" t="s">
        <v>52</v>
      </c>
      <c r="D79" s="1">
        <v>286.32565307617199</v>
      </c>
      <c r="E79" s="1">
        <v>161.89988708496099</v>
      </c>
      <c r="F79" s="1">
        <v>161.89988708496099</v>
      </c>
      <c r="G79" s="1">
        <v>161.89988708496099</v>
      </c>
      <c r="H79" s="3">
        <f t="shared" si="7"/>
        <v>0.56543968500751252</v>
      </c>
      <c r="I79" s="3">
        <f t="shared" si="8"/>
        <v>0</v>
      </c>
      <c r="J79" s="3">
        <v>0</v>
      </c>
      <c r="K79" s="8">
        <v>0.40885792672634103</v>
      </c>
      <c r="L79" s="8">
        <v>-0.17549999999999999</v>
      </c>
      <c r="M79" s="8">
        <v>0.51794414222240404</v>
      </c>
      <c r="N79" s="8">
        <v>0.28000000000000003</v>
      </c>
      <c r="O79" s="8">
        <v>7.9000000000000001E-2</v>
      </c>
      <c r="P79" s="8">
        <f t="shared" si="9"/>
        <v>0.29231471407413467</v>
      </c>
      <c r="Q79" s="11">
        <v>4</v>
      </c>
    </row>
    <row r="80" spans="1:17" x14ac:dyDescent="0.15">
      <c r="A80" s="1" t="s">
        <v>23</v>
      </c>
      <c r="B80" s="1">
        <v>92</v>
      </c>
      <c r="C80" s="1" t="s">
        <v>51</v>
      </c>
      <c r="D80" s="1">
        <v>289.90924072265602</v>
      </c>
      <c r="E80" s="1">
        <v>152.34370422363301</v>
      </c>
      <c r="F80" s="1">
        <v>50.730022430419901</v>
      </c>
      <c r="G80" s="1">
        <v>50.730022430419901</v>
      </c>
      <c r="H80" s="3">
        <f t="shared" si="7"/>
        <v>0.52548757619414355</v>
      </c>
      <c r="I80" s="4">
        <f t="shared" si="8"/>
        <v>0.66700282962825475</v>
      </c>
      <c r="J80" s="3">
        <v>0</v>
      </c>
      <c r="K80" s="8">
        <v>0.53177601099014205</v>
      </c>
      <c r="L80" s="8">
        <v>-0.54900000000000004</v>
      </c>
      <c r="M80" s="8">
        <v>0.47382553170124703</v>
      </c>
      <c r="N80" s="8">
        <v>0.52</v>
      </c>
      <c r="O80" s="8">
        <v>0.59450000000000003</v>
      </c>
      <c r="P80" s="8">
        <f t="shared" si="9"/>
        <v>0.52944184390041571</v>
      </c>
      <c r="Q80" s="11">
        <v>7</v>
      </c>
    </row>
    <row r="81" spans="1:17" x14ac:dyDescent="0.15">
      <c r="A81" s="1" t="s">
        <v>15</v>
      </c>
      <c r="B81" s="1">
        <v>93</v>
      </c>
      <c r="C81" s="1" t="s">
        <v>46</v>
      </c>
      <c r="D81" s="1">
        <v>281.92138671875</v>
      </c>
      <c r="E81" s="1">
        <v>10.385601997375501</v>
      </c>
      <c r="F81" s="1">
        <v>0</v>
      </c>
      <c r="G81" s="1">
        <v>0</v>
      </c>
      <c r="H81" s="5">
        <f t="shared" si="7"/>
        <v>3.6838645404849581E-2</v>
      </c>
      <c r="I81" s="4">
        <f t="shared" si="8"/>
        <v>1</v>
      </c>
      <c r="J81" s="3">
        <v>0</v>
      </c>
      <c r="K81" s="8">
        <v>3.1541817188262899</v>
      </c>
      <c r="L81" s="8">
        <v>1.857</v>
      </c>
      <c r="M81" s="8">
        <v>0.74594215800364705</v>
      </c>
      <c r="N81" s="8">
        <v>1.1599999999999999</v>
      </c>
      <c r="O81" s="8">
        <v>0.77449999999999997</v>
      </c>
      <c r="P81" s="8">
        <f t="shared" si="9"/>
        <v>0.89348071933454898</v>
      </c>
      <c r="Q81" s="11">
        <v>4</v>
      </c>
    </row>
    <row r="82" spans="1:17" x14ac:dyDescent="0.15">
      <c r="A82" s="1" t="s">
        <v>21</v>
      </c>
      <c r="B82" s="1">
        <v>94</v>
      </c>
      <c r="C82" s="1" t="s">
        <v>46</v>
      </c>
      <c r="D82" s="1">
        <v>253.75592041015599</v>
      </c>
      <c r="E82" s="1">
        <v>55.499465942382798</v>
      </c>
      <c r="F82" s="1">
        <v>55.499465942382798</v>
      </c>
      <c r="G82" s="1">
        <v>55.499465942382798</v>
      </c>
      <c r="H82" s="3">
        <f t="shared" si="7"/>
        <v>0.21871200424674531</v>
      </c>
      <c r="I82" s="3">
        <f t="shared" si="8"/>
        <v>0</v>
      </c>
      <c r="J82" s="3">
        <f t="shared" ref="J82:J97" si="10">(F82-G82)/F82</f>
        <v>0</v>
      </c>
      <c r="K82" s="8">
        <v>-0.67092859745025601</v>
      </c>
      <c r="L82" s="8">
        <v>0.23549999999999999</v>
      </c>
      <c r="M82" s="8">
        <v>0.41063256313403401</v>
      </c>
      <c r="N82" s="8">
        <v>0.45</v>
      </c>
      <c r="O82" s="8">
        <v>0.32100000000000001</v>
      </c>
      <c r="P82" s="8">
        <f t="shared" si="9"/>
        <v>0.39387752104467805</v>
      </c>
      <c r="Q82" s="11">
        <v>0</v>
      </c>
    </row>
    <row r="83" spans="1:17" x14ac:dyDescent="0.15">
      <c r="A83" s="1" t="s">
        <v>10</v>
      </c>
      <c r="B83" s="1">
        <v>95</v>
      </c>
      <c r="C83" s="1" t="s">
        <v>46</v>
      </c>
      <c r="D83" s="1">
        <v>289.09671020507801</v>
      </c>
      <c r="E83" s="1">
        <v>163.36660766601599</v>
      </c>
      <c r="F83" s="1">
        <v>148.68852233886699</v>
      </c>
      <c r="G83" s="1">
        <v>148.68852233886699</v>
      </c>
      <c r="H83" s="3">
        <f t="shared" si="7"/>
        <v>0.56509327812871957</v>
      </c>
      <c r="I83" s="4">
        <f t="shared" si="8"/>
        <v>8.9847524759506803E-2</v>
      </c>
      <c r="J83" s="3">
        <f t="shared" si="10"/>
        <v>0</v>
      </c>
      <c r="K83" s="8">
        <v>-0.27240820229053497</v>
      </c>
      <c r="L83" s="8">
        <v>0.57850000000000001</v>
      </c>
      <c r="M83" s="8">
        <v>1.3672686517238599</v>
      </c>
      <c r="N83" s="8">
        <v>0.79499999999999993</v>
      </c>
      <c r="O83" s="8">
        <v>0.13350000000000001</v>
      </c>
      <c r="P83" s="8">
        <f t="shared" si="9"/>
        <v>0.76525621724128667</v>
      </c>
      <c r="Q83" s="11">
        <v>4</v>
      </c>
    </row>
    <row r="84" spans="1:17" x14ac:dyDescent="0.15">
      <c r="A84" s="1" t="s">
        <v>15</v>
      </c>
      <c r="B84" s="1">
        <v>96</v>
      </c>
      <c r="C84" s="1" t="s">
        <v>46</v>
      </c>
      <c r="D84" s="1">
        <v>273.41455078125</v>
      </c>
      <c r="E84" s="1">
        <v>114.842567443848</v>
      </c>
      <c r="F84" s="1">
        <v>13.897666931152299</v>
      </c>
      <c r="G84" s="1">
        <v>13.897666931152299</v>
      </c>
      <c r="H84" s="3">
        <f t="shared" si="7"/>
        <v>0.42003092781894319</v>
      </c>
      <c r="I84" s="4">
        <f t="shared" si="8"/>
        <v>0.87898505545038841</v>
      </c>
      <c r="J84" s="3">
        <f t="shared" si="10"/>
        <v>0</v>
      </c>
      <c r="K84" s="8">
        <v>2.1538894176483101</v>
      </c>
      <c r="L84" s="8">
        <v>0.44750000000000001</v>
      </c>
      <c r="M84" s="8">
        <v>0.59975397338469805</v>
      </c>
      <c r="N84" s="8">
        <v>1.2850000000000001</v>
      </c>
      <c r="O84" s="8">
        <v>0.87450000000000006</v>
      </c>
      <c r="P84" s="8">
        <f t="shared" si="9"/>
        <v>0.91975132446156616</v>
      </c>
      <c r="Q84" s="11">
        <v>1</v>
      </c>
    </row>
    <row r="85" spans="1:17" x14ac:dyDescent="0.15">
      <c r="A85" s="1" t="s">
        <v>15</v>
      </c>
      <c r="B85" s="1">
        <v>97</v>
      </c>
      <c r="C85" s="1" t="s">
        <v>46</v>
      </c>
      <c r="D85" s="1">
        <v>286.37661743164102</v>
      </c>
      <c r="E85" s="1">
        <v>46.372920989990199</v>
      </c>
      <c r="F85" s="1">
        <v>2.4152562618255602</v>
      </c>
      <c r="G85" s="1">
        <v>2.4152562618255602</v>
      </c>
      <c r="H85" s="5">
        <f t="shared" si="7"/>
        <v>0.16192984401409644</v>
      </c>
      <c r="I85" s="4">
        <f t="shared" si="8"/>
        <v>0.9479166675235553</v>
      </c>
      <c r="J85" s="3">
        <f t="shared" si="10"/>
        <v>0</v>
      </c>
      <c r="K85" s="8">
        <v>2.2540971040725699</v>
      </c>
      <c r="L85" s="8">
        <v>1.9025000000000001</v>
      </c>
      <c r="M85" s="8">
        <v>1.32041973869006</v>
      </c>
      <c r="N85" s="8">
        <v>1.18</v>
      </c>
      <c r="O85" s="8">
        <v>1.1400000000000001</v>
      </c>
      <c r="P85" s="8">
        <f t="shared" si="9"/>
        <v>1.2134732462300202</v>
      </c>
      <c r="Q85" s="11">
        <v>1</v>
      </c>
    </row>
    <row r="86" spans="1:17" x14ac:dyDescent="0.15">
      <c r="A86" s="1" t="s">
        <v>14</v>
      </c>
      <c r="B86" s="1">
        <v>98</v>
      </c>
      <c r="C86" s="1" t="s">
        <v>47</v>
      </c>
      <c r="D86" s="1">
        <v>186.48420715332</v>
      </c>
      <c r="E86" s="1">
        <v>44.979869842529297</v>
      </c>
      <c r="F86" s="1">
        <v>44.979869842529297</v>
      </c>
      <c r="G86" s="1">
        <v>44.979869842529297</v>
      </c>
      <c r="H86" s="3">
        <f t="shared" si="7"/>
        <v>0.24119935156518971</v>
      </c>
      <c r="I86" s="3">
        <f t="shared" si="8"/>
        <v>0</v>
      </c>
      <c r="J86" s="3">
        <f t="shared" si="10"/>
        <v>0</v>
      </c>
      <c r="K86" s="8">
        <v>-7.1610447019338594E-2</v>
      </c>
      <c r="L86" s="8">
        <v>0.1855</v>
      </c>
      <c r="M86" s="8">
        <v>0.42017956574757798</v>
      </c>
      <c r="N86" s="8">
        <v>0.21500000000000002</v>
      </c>
      <c r="O86" s="8">
        <v>0.188</v>
      </c>
      <c r="P86" s="8">
        <f t="shared" si="9"/>
        <v>0.27439318858252598</v>
      </c>
      <c r="Q86" s="11">
        <v>1</v>
      </c>
    </row>
    <row r="87" spans="1:17" x14ac:dyDescent="0.15">
      <c r="A87" s="1" t="s">
        <v>12</v>
      </c>
      <c r="B87" s="1">
        <v>99</v>
      </c>
      <c r="C87" s="1" t="s">
        <v>47</v>
      </c>
      <c r="D87" s="1">
        <v>334.05722045898398</v>
      </c>
      <c r="E87" s="1">
        <v>232.291580200195</v>
      </c>
      <c r="F87" s="1">
        <v>144.44421386718699</v>
      </c>
      <c r="G87" s="1">
        <v>144.44421386718699</v>
      </c>
      <c r="H87" s="3">
        <f t="shared" si="7"/>
        <v>0.69536464406018161</v>
      </c>
      <c r="I87" s="4">
        <f t="shared" si="8"/>
        <v>0.37817714381769169</v>
      </c>
      <c r="J87" s="3">
        <f t="shared" si="10"/>
        <v>0</v>
      </c>
      <c r="K87" s="8">
        <v>0.304361462593078</v>
      </c>
      <c r="L87" s="8">
        <v>0.182</v>
      </c>
      <c r="M87" s="8">
        <v>0.263724975287914</v>
      </c>
      <c r="N87" s="8">
        <v>1.38</v>
      </c>
      <c r="O87" s="8">
        <v>-3.9499999999999993E-2</v>
      </c>
      <c r="P87" s="8">
        <f t="shared" si="9"/>
        <v>0.53474165842930466</v>
      </c>
      <c r="Q87" s="11">
        <v>1</v>
      </c>
    </row>
    <row r="88" spans="1:17" x14ac:dyDescent="0.15">
      <c r="A88" s="1" t="s">
        <v>19</v>
      </c>
      <c r="B88" s="1">
        <v>100</v>
      </c>
      <c r="C88" s="1" t="s">
        <v>48</v>
      </c>
      <c r="D88" s="1">
        <v>255.16519165039099</v>
      </c>
      <c r="E88" s="1">
        <v>67.095420837402301</v>
      </c>
      <c r="F88" s="1">
        <v>14.6843585968018</v>
      </c>
      <c r="G88" s="1">
        <v>14.6843585968018</v>
      </c>
      <c r="H88" s="3">
        <f t="shared" si="7"/>
        <v>0.26294895633465409</v>
      </c>
      <c r="I88" s="4">
        <f t="shared" si="8"/>
        <v>0.7811421641964571</v>
      </c>
      <c r="J88" s="3">
        <f t="shared" si="10"/>
        <v>0</v>
      </c>
      <c r="K88" s="8">
        <v>0.53428170084953197</v>
      </c>
      <c r="L88" s="8">
        <v>0.85099999999999998</v>
      </c>
      <c r="M88" s="8">
        <v>0.82785645624001702</v>
      </c>
      <c r="N88" s="8">
        <v>1.165</v>
      </c>
      <c r="O88" s="8">
        <v>0.63949999999999996</v>
      </c>
      <c r="P88" s="8">
        <f t="shared" si="9"/>
        <v>0.87745215208000571</v>
      </c>
      <c r="Q88" s="11">
        <v>2</v>
      </c>
    </row>
    <row r="89" spans="1:17" x14ac:dyDescent="0.15">
      <c r="A89" s="1" t="s">
        <v>11</v>
      </c>
      <c r="B89" s="1">
        <v>101</v>
      </c>
      <c r="C89" s="1" t="s">
        <v>48</v>
      </c>
      <c r="D89" s="1">
        <v>245.37097167968699</v>
      </c>
      <c r="E89" s="1">
        <v>125.67440795898401</v>
      </c>
      <c r="F89" s="1">
        <v>19.825178146362301</v>
      </c>
      <c r="G89" s="1">
        <v>19.825178146362301</v>
      </c>
      <c r="H89" s="3">
        <f t="shared" si="7"/>
        <v>0.51218123765284806</v>
      </c>
      <c r="I89" s="4">
        <f t="shared" si="8"/>
        <v>0.84224967940304452</v>
      </c>
      <c r="J89" s="3">
        <f t="shared" si="10"/>
        <v>0</v>
      </c>
      <c r="K89" s="8">
        <v>2.33444944024086E-2</v>
      </c>
      <c r="L89" s="8">
        <v>0.3715</v>
      </c>
      <c r="M89" s="8">
        <v>0.95795659720897297</v>
      </c>
      <c r="N89" s="8">
        <v>0.98499999999999999</v>
      </c>
      <c r="O89" s="8">
        <v>1.3959999999999999</v>
      </c>
      <c r="P89" s="8">
        <f t="shared" si="9"/>
        <v>1.1129855324029909</v>
      </c>
      <c r="Q89" s="11">
        <v>2</v>
      </c>
    </row>
    <row r="90" spans="1:17" x14ac:dyDescent="0.15">
      <c r="A90" s="1" t="s">
        <v>24</v>
      </c>
      <c r="B90" s="1">
        <v>102</v>
      </c>
      <c r="C90" s="1" t="s">
        <v>48</v>
      </c>
      <c r="D90" s="1">
        <v>268.23291015625</v>
      </c>
      <c r="E90" s="1">
        <v>38.193534851074197</v>
      </c>
      <c r="F90" s="1">
        <v>16.752222061157202</v>
      </c>
      <c r="G90" s="1">
        <v>16.752222061157202</v>
      </c>
      <c r="H90" s="5">
        <f t="shared" si="7"/>
        <v>0.14238944366977879</v>
      </c>
      <c r="I90" s="4">
        <f t="shared" si="8"/>
        <v>0.56138592234318829</v>
      </c>
      <c r="J90" s="3">
        <f t="shared" si="10"/>
        <v>0</v>
      </c>
      <c r="K90" s="8">
        <v>0.678622066974639</v>
      </c>
      <c r="L90" s="8">
        <v>7.0499999999999993E-2</v>
      </c>
      <c r="M90" s="8">
        <v>1.77288258075713</v>
      </c>
      <c r="N90" s="8">
        <v>1.165</v>
      </c>
      <c r="O90" s="8">
        <v>1.7685</v>
      </c>
      <c r="P90" s="8">
        <f t="shared" si="9"/>
        <v>1.5687941935857099</v>
      </c>
      <c r="Q90" s="11">
        <v>1</v>
      </c>
    </row>
    <row r="91" spans="1:17" x14ac:dyDescent="0.15">
      <c r="A91" s="1" t="s">
        <v>9</v>
      </c>
      <c r="B91" s="1">
        <v>103</v>
      </c>
      <c r="C91" s="1" t="s">
        <v>47</v>
      </c>
      <c r="D91" s="1">
        <v>209.80735778808599</v>
      </c>
      <c r="E91" s="1">
        <v>76.602081298828097</v>
      </c>
      <c r="F91" s="1">
        <v>6.6265487670898402</v>
      </c>
      <c r="G91" s="1">
        <v>6.6265487670898402</v>
      </c>
      <c r="H91" s="3">
        <f t="shared" si="7"/>
        <v>0.36510674414097205</v>
      </c>
      <c r="I91" s="4">
        <f t="shared" si="8"/>
        <v>0.91349388091376549</v>
      </c>
      <c r="J91" s="3">
        <f t="shared" si="10"/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f t="shared" si="9"/>
        <v>0</v>
      </c>
      <c r="Q91" s="11">
        <v>7</v>
      </c>
    </row>
    <row r="92" spans="1:17" x14ac:dyDescent="0.15">
      <c r="A92" s="1" t="s">
        <v>16</v>
      </c>
      <c r="B92" s="1">
        <v>104</v>
      </c>
      <c r="C92" s="1" t="s">
        <v>47</v>
      </c>
      <c r="D92" s="1">
        <v>285.11544799804699</v>
      </c>
      <c r="E92" s="1">
        <v>156.07206726074199</v>
      </c>
      <c r="F92" s="1">
        <v>46.300361633300803</v>
      </c>
      <c r="G92" s="1">
        <v>46.300361633300803</v>
      </c>
      <c r="H92" s="3">
        <f t="shared" si="7"/>
        <v>0.54739954764503351</v>
      </c>
      <c r="I92" s="4">
        <f t="shared" si="8"/>
        <v>0.70333985801604681</v>
      </c>
      <c r="J92" s="3">
        <f t="shared" si="10"/>
        <v>0</v>
      </c>
      <c r="K92" s="8">
        <v>0.107016399502754</v>
      </c>
      <c r="L92" s="8">
        <v>0.57750000000000001</v>
      </c>
      <c r="M92" s="8">
        <v>0.75065789123376203</v>
      </c>
      <c r="N92" s="8">
        <v>0.62</v>
      </c>
      <c r="O92" s="8">
        <v>0.76049999999999995</v>
      </c>
      <c r="P92" s="8">
        <f t="shared" si="9"/>
        <v>0.71038596374458729</v>
      </c>
      <c r="Q92" s="11">
        <v>3</v>
      </c>
    </row>
    <row r="93" spans="1:17" x14ac:dyDescent="0.15">
      <c r="A93" s="1" t="s">
        <v>14</v>
      </c>
      <c r="B93" s="1">
        <v>105</v>
      </c>
      <c r="C93" s="1" t="s">
        <v>47</v>
      </c>
      <c r="D93" s="1">
        <v>188.14306640625</v>
      </c>
      <c r="E93" s="1">
        <v>1.64506340026855</v>
      </c>
      <c r="F93" s="1">
        <v>0.43743532896041898</v>
      </c>
      <c r="G93" s="1">
        <v>0.43743532896041898</v>
      </c>
      <c r="H93" s="5">
        <f t="shared" si="7"/>
        <v>8.7436833665527104E-3</v>
      </c>
      <c r="I93" s="4">
        <f t="shared" si="8"/>
        <v>0.73409211530144713</v>
      </c>
      <c r="J93" s="3">
        <f t="shared" si="10"/>
        <v>0</v>
      </c>
      <c r="K93" s="8">
        <v>0.76103129982948303</v>
      </c>
      <c r="L93" s="8">
        <v>1.6085</v>
      </c>
      <c r="M93" s="8">
        <v>0.469497197618087</v>
      </c>
      <c r="N93" s="8">
        <v>0.14000000000000001</v>
      </c>
      <c r="O93" s="8">
        <v>0.34799999999999998</v>
      </c>
      <c r="P93" s="8">
        <f t="shared" si="9"/>
        <v>0.31916573253936231</v>
      </c>
      <c r="Q93" s="11">
        <v>2</v>
      </c>
    </row>
    <row r="94" spans="1:17" x14ac:dyDescent="0.15">
      <c r="A94" s="1" t="s">
        <v>14</v>
      </c>
      <c r="B94" s="1">
        <v>106</v>
      </c>
      <c r="C94" s="1" t="s">
        <v>47</v>
      </c>
      <c r="D94" s="1">
        <v>188.8759765625</v>
      </c>
      <c r="E94" s="1">
        <v>54.439235687255902</v>
      </c>
      <c r="F94" s="1">
        <v>28.236343383789102</v>
      </c>
      <c r="G94" s="1">
        <v>28.236343383789102</v>
      </c>
      <c r="H94" s="3">
        <f t="shared" si="7"/>
        <v>0.28822742139068008</v>
      </c>
      <c r="I94" s="4">
        <f t="shared" si="8"/>
        <v>0.48132366247751779</v>
      </c>
      <c r="J94" s="3">
        <f t="shared" si="10"/>
        <v>0</v>
      </c>
      <c r="K94" s="8">
        <v>0.17293426394462499</v>
      </c>
      <c r="L94" s="8">
        <v>1.6725000000000001</v>
      </c>
      <c r="M94" s="8">
        <v>0.804124002655346</v>
      </c>
      <c r="N94" s="8">
        <v>0.3</v>
      </c>
      <c r="O94" s="8">
        <v>1.31</v>
      </c>
      <c r="P94" s="8">
        <f t="shared" si="9"/>
        <v>0.8047080008851154</v>
      </c>
      <c r="Q94" s="11">
        <v>2</v>
      </c>
    </row>
    <row r="95" spans="1:17" x14ac:dyDescent="0.15">
      <c r="A95" s="1" t="s">
        <v>19</v>
      </c>
      <c r="B95" s="1">
        <v>107</v>
      </c>
      <c r="C95" s="1" t="s">
        <v>47</v>
      </c>
      <c r="D95" s="1">
        <v>246.28268432617199</v>
      </c>
      <c r="E95" s="1">
        <v>104.28646850585901</v>
      </c>
      <c r="F95" s="1">
        <v>27.752639770507798</v>
      </c>
      <c r="G95" s="1">
        <v>27.752639770507798</v>
      </c>
      <c r="H95" s="3">
        <f t="shared" si="7"/>
        <v>0.42344214653655488</v>
      </c>
      <c r="I95" s="4">
        <f t="shared" si="8"/>
        <v>0.73388072136176896</v>
      </c>
      <c r="J95" s="3">
        <f t="shared" si="10"/>
        <v>0</v>
      </c>
      <c r="K95" s="8">
        <v>8.4831029176711994E-2</v>
      </c>
      <c r="L95" s="8">
        <v>1.012</v>
      </c>
      <c r="M95" s="8">
        <v>0.670784592628479</v>
      </c>
      <c r="N95" s="8">
        <v>0.90500000000000003</v>
      </c>
      <c r="O95" s="8">
        <v>1.0994999999999999</v>
      </c>
      <c r="P95" s="8">
        <f t="shared" si="9"/>
        <v>0.89176153087615972</v>
      </c>
      <c r="Q95" s="11">
        <v>0</v>
      </c>
    </row>
    <row r="96" spans="1:17" x14ac:dyDescent="0.15">
      <c r="A96" s="1" t="s">
        <v>15</v>
      </c>
      <c r="B96" s="1">
        <v>108</v>
      </c>
      <c r="C96" s="1" t="s">
        <v>47</v>
      </c>
      <c r="D96" s="1">
        <v>282.55902099609398</v>
      </c>
      <c r="E96" s="1">
        <v>66.013923645019503</v>
      </c>
      <c r="F96" s="1">
        <v>63.656707763671903</v>
      </c>
      <c r="G96" s="1">
        <v>63.656707763671903</v>
      </c>
      <c r="H96" s="3">
        <f t="shared" si="7"/>
        <v>0.23362879518871232</v>
      </c>
      <c r="I96" s="4">
        <f t="shared" si="8"/>
        <v>3.5707859057479946E-2</v>
      </c>
      <c r="J96" s="3">
        <f t="shared" si="10"/>
        <v>0</v>
      </c>
      <c r="K96" s="8">
        <v>0.50650948286056496</v>
      </c>
      <c r="L96" s="8">
        <v>0.80549999999999999</v>
      </c>
      <c r="M96" s="8">
        <v>0.73124438027540795</v>
      </c>
      <c r="N96" s="8">
        <v>1.08</v>
      </c>
      <c r="O96" s="8">
        <v>0.52</v>
      </c>
      <c r="P96" s="8">
        <f t="shared" si="9"/>
        <v>0.77708146009180268</v>
      </c>
      <c r="Q96" s="11">
        <v>1</v>
      </c>
    </row>
    <row r="97" spans="1:17" x14ac:dyDescent="0.15">
      <c r="A97" s="1" t="s">
        <v>18</v>
      </c>
      <c r="B97" s="1">
        <v>109</v>
      </c>
      <c r="C97" s="1" t="s">
        <v>47</v>
      </c>
      <c r="D97" s="1">
        <v>237.0478515625</v>
      </c>
      <c r="E97" s="1">
        <v>114.245986938477</v>
      </c>
      <c r="F97" s="1">
        <v>92.750205993652301</v>
      </c>
      <c r="G97" s="1">
        <v>92.750205993652301</v>
      </c>
      <c r="H97" s="3">
        <f t="shared" si="7"/>
        <v>0.48195326886712964</v>
      </c>
      <c r="I97" s="4">
        <f t="shared" si="8"/>
        <v>0.18815348810808094</v>
      </c>
      <c r="J97" s="3">
        <f t="shared" si="10"/>
        <v>0</v>
      </c>
      <c r="K97" s="8">
        <v>0.59375864267349199</v>
      </c>
      <c r="L97" s="8">
        <v>0.89549999999999996</v>
      </c>
      <c r="M97" s="8">
        <v>0.29129392653703701</v>
      </c>
      <c r="N97" s="8">
        <v>0.82000000000000006</v>
      </c>
      <c r="O97" s="8">
        <v>0.34899999999999998</v>
      </c>
      <c r="P97" s="8">
        <f t="shared" si="9"/>
        <v>0.48676464217901239</v>
      </c>
      <c r="Q97" s="11">
        <v>2</v>
      </c>
    </row>
    <row r="98" spans="1:17" x14ac:dyDescent="0.15">
      <c r="A98" s="1" t="s">
        <v>21</v>
      </c>
      <c r="B98" s="1">
        <v>110</v>
      </c>
      <c r="C98" s="1" t="s">
        <v>47</v>
      </c>
      <c r="D98" s="1">
        <v>265.23526000976602</v>
      </c>
      <c r="E98" s="1">
        <v>130.27593994140599</v>
      </c>
      <c r="F98" s="1">
        <v>102.950233459473</v>
      </c>
      <c r="G98" s="1">
        <v>102.950233459473</v>
      </c>
      <c r="H98" s="3">
        <f t="shared" ref="H98:H106" si="11">E98/D98</f>
        <v>0.49117127163488444</v>
      </c>
      <c r="I98" s="4">
        <f t="shared" ref="I98:I106" si="12">(E98-F98)/E98</f>
        <v>0.20975251834086353</v>
      </c>
      <c r="J98" s="3">
        <f t="shared" ref="J98:J106" si="13">(F98-G98)/F98</f>
        <v>0</v>
      </c>
      <c r="K98" s="8">
        <v>0.52574247121810802</v>
      </c>
      <c r="L98" s="8">
        <v>0.13450000000000001</v>
      </c>
      <c r="M98" s="8">
        <v>0.27928650875886302</v>
      </c>
      <c r="N98" s="8">
        <v>1.0049999999999999</v>
      </c>
      <c r="O98" s="8">
        <v>0.39849999999999997</v>
      </c>
      <c r="P98" s="8">
        <f t="shared" si="9"/>
        <v>0.5609288362529542</v>
      </c>
      <c r="Q98" s="11">
        <v>2</v>
      </c>
    </row>
    <row r="99" spans="1:17" x14ac:dyDescent="0.15">
      <c r="A99" s="1" t="s">
        <v>24</v>
      </c>
      <c r="B99" s="1">
        <v>111</v>
      </c>
      <c r="C99" s="1" t="s">
        <v>47</v>
      </c>
      <c r="D99" s="1">
        <v>276.83523559570301</v>
      </c>
      <c r="E99" s="1">
        <v>114.957305908203</v>
      </c>
      <c r="F99" s="1">
        <v>42.982666015625</v>
      </c>
      <c r="G99" s="1">
        <v>42.982666015625</v>
      </c>
      <c r="H99" s="3">
        <f t="shared" si="11"/>
        <v>0.41525532564824758</v>
      </c>
      <c r="I99" s="4">
        <f t="shared" si="12"/>
        <v>0.6260988749166756</v>
      </c>
      <c r="J99" s="3">
        <f t="shared" si="13"/>
        <v>0</v>
      </c>
      <c r="K99" s="8">
        <v>0.30772748589515603</v>
      </c>
      <c r="L99" s="8">
        <v>3.95E-2</v>
      </c>
      <c r="M99" s="8">
        <v>1.3225149313608799</v>
      </c>
      <c r="N99" s="8">
        <v>1.3</v>
      </c>
      <c r="O99" s="8">
        <v>1.3995</v>
      </c>
      <c r="P99" s="8">
        <f t="shared" si="9"/>
        <v>1.3406716437869599</v>
      </c>
      <c r="Q99" s="11">
        <v>3</v>
      </c>
    </row>
    <row r="100" spans="1:17" x14ac:dyDescent="0.15">
      <c r="A100" s="1" t="s">
        <v>16</v>
      </c>
      <c r="B100" s="1">
        <v>112</v>
      </c>
      <c r="C100" s="1" t="s">
        <v>47</v>
      </c>
      <c r="D100" s="1">
        <v>289.54458618164102</v>
      </c>
      <c r="E100" s="1">
        <v>122.48419189453099</v>
      </c>
      <c r="F100" s="1">
        <v>52.038589477539098</v>
      </c>
      <c r="G100" s="1">
        <v>52.038589477539098</v>
      </c>
      <c r="H100" s="3">
        <f t="shared" si="11"/>
        <v>0.42302359546689144</v>
      </c>
      <c r="I100" s="4">
        <f t="shared" si="12"/>
        <v>0.57514036160398063</v>
      </c>
      <c r="J100" s="3">
        <f t="shared" si="13"/>
        <v>0</v>
      </c>
      <c r="K100" s="8">
        <v>0.43700067698955503</v>
      </c>
      <c r="L100" s="8">
        <v>0.32350000000000001</v>
      </c>
      <c r="M100" s="8">
        <v>0.41355951161434201</v>
      </c>
      <c r="N100" s="8">
        <v>0.81499999999999995</v>
      </c>
      <c r="O100" s="8">
        <v>0.38600000000000001</v>
      </c>
      <c r="P100" s="8">
        <f t="shared" si="9"/>
        <v>0.53818650387144729</v>
      </c>
      <c r="Q100" s="11">
        <v>2</v>
      </c>
    </row>
    <row r="101" spans="1:17" x14ac:dyDescent="0.15">
      <c r="A101" s="1" t="s">
        <v>9</v>
      </c>
      <c r="B101" s="1">
        <v>113</v>
      </c>
      <c r="C101" s="1" t="s">
        <v>47</v>
      </c>
      <c r="D101" s="1">
        <v>213.17271423339801</v>
      </c>
      <c r="E101" s="1">
        <v>81.480751037597699</v>
      </c>
      <c r="F101" s="1">
        <v>81.480751037597699</v>
      </c>
      <c r="G101" s="1">
        <v>81.480751037597699</v>
      </c>
      <c r="H101" s="3">
        <f t="shared" si="11"/>
        <v>0.38222880132954662</v>
      </c>
      <c r="I101" s="3">
        <f t="shared" si="12"/>
        <v>0</v>
      </c>
      <c r="J101" s="3">
        <f t="shared" si="13"/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f t="shared" si="9"/>
        <v>0</v>
      </c>
      <c r="Q101" s="11">
        <v>3</v>
      </c>
    </row>
    <row r="102" spans="1:17" x14ac:dyDescent="0.15">
      <c r="A102" s="1" t="s">
        <v>19</v>
      </c>
      <c r="B102" s="1">
        <v>114</v>
      </c>
      <c r="C102" s="1" t="s">
        <v>47</v>
      </c>
      <c r="D102" s="1">
        <v>249.220138549805</v>
      </c>
      <c r="E102" s="1">
        <v>142.11389160156199</v>
      </c>
      <c r="F102" s="1">
        <v>98.295959472656193</v>
      </c>
      <c r="G102" s="1">
        <v>98.295959472656193</v>
      </c>
      <c r="H102" s="3">
        <f t="shared" si="11"/>
        <v>0.57023438165355755</v>
      </c>
      <c r="I102" s="4">
        <f t="shared" si="12"/>
        <v>0.30832968990643128</v>
      </c>
      <c r="J102" s="3">
        <f t="shared" si="13"/>
        <v>0</v>
      </c>
      <c r="K102" s="8">
        <v>-0.377372846007346</v>
      </c>
      <c r="L102" s="8">
        <v>0.1585</v>
      </c>
      <c r="M102" s="8">
        <v>0.20034649719794601</v>
      </c>
      <c r="N102" s="8">
        <v>1.1200000000000001</v>
      </c>
      <c r="O102" s="8">
        <v>0.30800000000000005</v>
      </c>
      <c r="P102" s="8">
        <f t="shared" si="9"/>
        <v>0.5427821657326487</v>
      </c>
      <c r="Q102" s="11">
        <v>2</v>
      </c>
    </row>
    <row r="103" spans="1:17" x14ac:dyDescent="0.15">
      <c r="A103" s="1" t="s">
        <v>15</v>
      </c>
      <c r="B103" s="1">
        <v>115</v>
      </c>
      <c r="C103" s="1" t="s">
        <v>47</v>
      </c>
      <c r="D103" s="1">
        <v>287.83035278320301</v>
      </c>
      <c r="E103" s="1">
        <v>123.362335205078</v>
      </c>
      <c r="F103" s="1">
        <v>0.24152563512325301</v>
      </c>
      <c r="G103" s="1">
        <v>0.24152563512325301</v>
      </c>
      <c r="H103" s="3">
        <f t="shared" si="11"/>
        <v>0.42859390614024595</v>
      </c>
      <c r="I103" s="4">
        <f t="shared" si="12"/>
        <v>0.99804214442988826</v>
      </c>
      <c r="J103" s="3">
        <f t="shared" si="13"/>
        <v>0</v>
      </c>
      <c r="K103" s="8">
        <v>-4.4731181114911901E-2</v>
      </c>
      <c r="L103" s="8">
        <v>0.80300000000000005</v>
      </c>
      <c r="M103" s="8">
        <v>0.90049280722935998</v>
      </c>
      <c r="N103" s="8">
        <v>1.7549999999999999</v>
      </c>
      <c r="O103" s="8">
        <v>1.2795000000000001</v>
      </c>
      <c r="P103" s="8">
        <f t="shared" si="9"/>
        <v>1.3116642690764533</v>
      </c>
      <c r="Q103" s="11">
        <v>1</v>
      </c>
    </row>
    <row r="104" spans="1:17" x14ac:dyDescent="0.15">
      <c r="A104" s="1" t="s">
        <v>15</v>
      </c>
      <c r="B104" s="1">
        <v>116</v>
      </c>
      <c r="C104" s="1" t="s">
        <v>47</v>
      </c>
      <c r="D104" s="1">
        <v>280.38681030273398</v>
      </c>
      <c r="E104" s="1">
        <v>92.727951049804702</v>
      </c>
      <c r="F104" s="1">
        <v>76.1988525390625</v>
      </c>
      <c r="G104" s="1">
        <v>76.1988525390625</v>
      </c>
      <c r="H104" s="3">
        <f t="shared" si="11"/>
        <v>0.33071438328245978</v>
      </c>
      <c r="I104" s="4">
        <f t="shared" si="12"/>
        <v>0.17825367997039351</v>
      </c>
      <c r="J104" s="3">
        <f t="shared" si="13"/>
        <v>0</v>
      </c>
      <c r="K104" s="8">
        <v>-1.01295341737568E-2</v>
      </c>
      <c r="L104" s="8">
        <v>0.32700000000000001</v>
      </c>
      <c r="M104" s="8">
        <v>0.63253596176703697</v>
      </c>
      <c r="N104" s="8">
        <v>0.9</v>
      </c>
      <c r="O104" s="8">
        <v>0.3695</v>
      </c>
      <c r="P104" s="8">
        <f t="shared" si="9"/>
        <v>0.63401198725567898</v>
      </c>
      <c r="Q104" s="11">
        <v>1</v>
      </c>
    </row>
    <row r="105" spans="1:17" x14ac:dyDescent="0.15">
      <c r="A105" s="1" t="s">
        <v>18</v>
      </c>
      <c r="B105" s="1">
        <v>117</v>
      </c>
      <c r="C105" s="1" t="s">
        <v>47</v>
      </c>
      <c r="D105" s="1">
        <v>236.23306274414099</v>
      </c>
      <c r="E105" s="1">
        <v>119.761764526367</v>
      </c>
      <c r="F105" s="1">
        <v>93.458290100097699</v>
      </c>
      <c r="G105" s="1">
        <v>88.869300842285199</v>
      </c>
      <c r="H105" s="3">
        <f t="shared" si="11"/>
        <v>0.50696444915535988</v>
      </c>
      <c r="I105" s="4">
        <f t="shared" si="12"/>
        <v>0.21963165397816325</v>
      </c>
      <c r="J105" s="6">
        <f t="shared" si="13"/>
        <v>4.9102003181285499E-2</v>
      </c>
      <c r="K105" s="8">
        <v>-1.9552707904949701E-2</v>
      </c>
      <c r="L105" s="8">
        <v>0.32350000000000001</v>
      </c>
      <c r="M105" s="8">
        <v>0.185085932413736</v>
      </c>
      <c r="N105" s="8">
        <v>0.59</v>
      </c>
      <c r="O105" s="8">
        <v>7.3499999999999996E-2</v>
      </c>
      <c r="P105" s="8">
        <f t="shared" si="9"/>
        <v>0.28286197747124536</v>
      </c>
      <c r="Q105" s="11">
        <v>2</v>
      </c>
    </row>
    <row r="106" spans="1:17" x14ac:dyDescent="0.15">
      <c r="A106" s="1" t="s">
        <v>10</v>
      </c>
      <c r="B106" s="1">
        <v>118</v>
      </c>
      <c r="C106" s="1" t="s">
        <v>47</v>
      </c>
      <c r="D106" s="1">
        <v>308.26077270507801</v>
      </c>
      <c r="E106" s="1">
        <v>250.39881896972699</v>
      </c>
      <c r="F106" s="1">
        <v>250.39881896972699</v>
      </c>
      <c r="G106" s="1">
        <v>250.39881896972699</v>
      </c>
      <c r="H106" s="3">
        <f t="shared" si="11"/>
        <v>0.81229543666034598</v>
      </c>
      <c r="I106" s="3">
        <f t="shared" si="12"/>
        <v>0</v>
      </c>
      <c r="J106" s="3">
        <f t="shared" si="13"/>
        <v>0</v>
      </c>
      <c r="K106" s="8">
        <v>0.218288198113441</v>
      </c>
      <c r="L106" s="8">
        <v>0.96399999999999997</v>
      </c>
      <c r="M106" s="8">
        <v>8.5249965700010394E-2</v>
      </c>
      <c r="N106" s="8">
        <v>0.78</v>
      </c>
      <c r="O106" s="8">
        <v>8.8499999999999995E-2</v>
      </c>
      <c r="P106" s="8">
        <f t="shared" si="9"/>
        <v>0.31791665523333684</v>
      </c>
      <c r="Q106" s="11">
        <v>2</v>
      </c>
    </row>
  </sheetData>
  <autoFilter ref="A1:Q106" xr:uid="{00000000-0001-0000-0000-000000000000}"/>
  <phoneticPr fontId="4" type="noConversion"/>
  <pageMargins left="0.7" right="0.7" top="0.75" bottom="0.75" header="0.3" footer="0.3"/>
  <pageSetup paperSize="9" orientation="portrait" r:id="rId1"/>
  <ignoredErrors>
    <ignoredError sqref="P2:P10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7"/>
  <sheetViews>
    <sheetView workbookViewId="0">
      <selection activeCell="S19" sqref="S19"/>
    </sheetView>
  </sheetViews>
  <sheetFormatPr defaultColWidth="9" defaultRowHeight="14.25" x14ac:dyDescent="0.2"/>
  <cols>
    <col min="1" max="2" width="8.25" style="1" customWidth="1"/>
    <col min="3" max="3" width="24" style="1" bestFit="1" customWidth="1"/>
    <col min="4" max="6" width="12.75" style="1" customWidth="1"/>
    <col min="7" max="10" width="16.5" style="1" customWidth="1"/>
    <col min="11" max="11" width="16.5" style="9" bestFit="1" customWidth="1"/>
    <col min="12" max="12" width="15.25" style="9" bestFit="1" customWidth="1"/>
    <col min="13" max="13" width="21.5" style="9" bestFit="1" customWidth="1"/>
    <col min="14" max="15" width="19" style="9" bestFit="1" customWidth="1"/>
    <col min="16" max="16" width="16.5" style="10" customWidth="1"/>
    <col min="17" max="17" width="14" style="10" bestFit="1" customWidth="1"/>
  </cols>
  <sheetData>
    <row r="1" spans="1:17" x14ac:dyDescent="0.2">
      <c r="A1" s="2" t="s">
        <v>0</v>
      </c>
      <c r="B1" s="2" t="s">
        <v>1</v>
      </c>
      <c r="C1" s="2" t="s">
        <v>62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7" t="s">
        <v>63</v>
      </c>
      <c r="L1" s="7" t="s">
        <v>64</v>
      </c>
      <c r="M1" s="7" t="s">
        <v>66</v>
      </c>
      <c r="N1" s="7" t="s">
        <v>67</v>
      </c>
      <c r="O1" s="7" t="s">
        <v>68</v>
      </c>
      <c r="P1" s="7" t="s">
        <v>65</v>
      </c>
      <c r="Q1" s="7" t="s">
        <v>30</v>
      </c>
    </row>
    <row r="2" spans="1:17" x14ac:dyDescent="0.15">
      <c r="A2" s="1" t="s">
        <v>10</v>
      </c>
      <c r="B2" s="1">
        <v>30</v>
      </c>
      <c r="D2" s="1">
        <v>302.90347290039102</v>
      </c>
      <c r="E2" s="1">
        <v>231.65127563476599</v>
      </c>
      <c r="F2" s="1">
        <v>231.65127563476599</v>
      </c>
      <c r="G2" s="1">
        <v>149.485763549805</v>
      </c>
      <c r="H2" s="3">
        <f t="shared" ref="H2:H4" si="0">E2/D2</f>
        <v>0.76476929569884422</v>
      </c>
      <c r="I2" s="3">
        <f t="shared" ref="I2:I4" si="1">(E2-F2)/E2</f>
        <v>0</v>
      </c>
      <c r="J2" s="6">
        <f t="shared" ref="J2:J4" si="2">(F2-G2)/F2</f>
        <v>0.35469483973188909</v>
      </c>
      <c r="K2" s="9">
        <v>-1.30127510055899E-2</v>
      </c>
      <c r="L2" s="9">
        <v>0.52200000000000002</v>
      </c>
      <c r="M2" s="9">
        <v>5.1866004864374697E-2</v>
      </c>
      <c r="N2" s="9">
        <v>0.16</v>
      </c>
      <c r="O2" s="9">
        <v>3.1E-2</v>
      </c>
      <c r="P2" s="8">
        <f t="shared" ref="P2:P65" si="3">AVERAGE(M2:O2)</f>
        <v>8.0955334954791569E-2</v>
      </c>
      <c r="Q2" s="11">
        <v>2</v>
      </c>
    </row>
    <row r="3" spans="1:17" x14ac:dyDescent="0.15">
      <c r="A3" s="1" t="s">
        <v>12</v>
      </c>
      <c r="B3" s="1">
        <v>31</v>
      </c>
      <c r="D3" s="1">
        <v>301.26574707031301</v>
      </c>
      <c r="E3" s="1">
        <v>169.63063049316401</v>
      </c>
      <c r="F3" s="1">
        <v>169.63063049316401</v>
      </c>
      <c r="G3" s="1">
        <v>99.919242858886705</v>
      </c>
      <c r="H3" s="3">
        <f t="shared" si="0"/>
        <v>0.56305979734753442</v>
      </c>
      <c r="I3" s="3">
        <f t="shared" si="1"/>
        <v>0</v>
      </c>
      <c r="J3" s="6">
        <f t="shared" si="2"/>
        <v>0.41095990406689326</v>
      </c>
      <c r="K3" s="9">
        <v>-0.39714863896369901</v>
      </c>
      <c r="L3" s="9">
        <v>0.25800000000000001</v>
      </c>
      <c r="M3" s="9">
        <v>2.6206513866782102E-2</v>
      </c>
      <c r="N3" s="9">
        <v>0.44</v>
      </c>
      <c r="O3" s="9">
        <v>0.10100000000000001</v>
      </c>
      <c r="P3" s="8">
        <f t="shared" si="3"/>
        <v>0.18906883795559404</v>
      </c>
      <c r="Q3" s="11">
        <v>2</v>
      </c>
    </row>
    <row r="4" spans="1:17" x14ac:dyDescent="0.15">
      <c r="A4" s="1" t="s">
        <v>13</v>
      </c>
      <c r="B4" s="1">
        <v>32</v>
      </c>
      <c r="D4" s="1">
        <v>217.64332580566401</v>
      </c>
      <c r="E4" s="1">
        <v>95.021751403808594</v>
      </c>
      <c r="F4" s="1">
        <v>95.021751403808594</v>
      </c>
      <c r="G4" s="1">
        <v>32.473854064941399</v>
      </c>
      <c r="H4" s="3">
        <f t="shared" si="0"/>
        <v>0.43659391369829786</v>
      </c>
      <c r="I4" s="3">
        <f t="shared" si="1"/>
        <v>0</v>
      </c>
      <c r="J4" s="6">
        <f t="shared" si="2"/>
        <v>0.65824820543520512</v>
      </c>
      <c r="K4" s="9">
        <v>3.8512829691171598E-2</v>
      </c>
      <c r="L4" s="9">
        <v>6.9000000000000006E-2</v>
      </c>
      <c r="M4" s="9">
        <v>6.9058767209450398E-3</v>
      </c>
      <c r="N4" s="9">
        <v>0.1</v>
      </c>
      <c r="O4" s="9">
        <v>0.13600000000000001</v>
      </c>
      <c r="P4" s="8">
        <f>AVERAGE(M4:O4)</f>
        <v>8.0968625573648353E-2</v>
      </c>
      <c r="Q4" s="11">
        <v>1</v>
      </c>
    </row>
    <row r="5" spans="1:17" x14ac:dyDescent="0.15">
      <c r="A5" s="1" t="s">
        <v>12</v>
      </c>
      <c r="B5" s="1">
        <v>33</v>
      </c>
      <c r="C5" s="1" t="s">
        <v>57</v>
      </c>
      <c r="D5" s="1">
        <v>332.24822998046898</v>
      </c>
      <c r="E5" s="1">
        <v>198.19219970703099</v>
      </c>
      <c r="F5" s="1">
        <v>192.28681945800801</v>
      </c>
      <c r="G5" s="1">
        <v>65.211166381835895</v>
      </c>
      <c r="H5" s="3">
        <f t="shared" ref="H5:H36" si="4">E5/D5</f>
        <v>0.59651845163684281</v>
      </c>
      <c r="I5" s="4">
        <f t="shared" ref="I5:I36" si="5">(E5-F5)/E5</f>
        <v>2.9796229406365914E-2</v>
      </c>
      <c r="J5" s="6">
        <f t="shared" ref="J5:J29" si="6">(F5-G5)/F5</f>
        <v>0.6608651255159127</v>
      </c>
      <c r="K5" s="9">
        <v>1.7671719193458502E-2</v>
      </c>
      <c r="L5" s="9">
        <v>0.42099999999999999</v>
      </c>
      <c r="M5" s="9">
        <v>3.3741367670396899E-2</v>
      </c>
      <c r="N5" s="9">
        <v>0.44000000000000006</v>
      </c>
      <c r="O5" s="9">
        <v>3.5500000000000004E-2</v>
      </c>
      <c r="P5" s="8">
        <f t="shared" si="3"/>
        <v>0.169747122556799</v>
      </c>
      <c r="Q5" s="11">
        <v>2</v>
      </c>
    </row>
    <row r="6" spans="1:17" x14ac:dyDescent="0.15">
      <c r="A6" s="1" t="s">
        <v>10</v>
      </c>
      <c r="B6" s="1">
        <v>34</v>
      </c>
      <c r="D6" s="1">
        <v>298.92913818359398</v>
      </c>
      <c r="E6" s="1">
        <v>170.56298828125</v>
      </c>
      <c r="F6" s="1">
        <v>157.762130737305</v>
      </c>
      <c r="G6" s="1">
        <v>131.57901000976599</v>
      </c>
      <c r="H6" s="3">
        <f t="shared" si="4"/>
        <v>0.57058000206221093</v>
      </c>
      <c r="I6" s="4">
        <f t="shared" si="5"/>
        <v>7.5050617211496168E-2</v>
      </c>
      <c r="J6" s="6">
        <f t="shared" si="6"/>
        <v>0.16596581578336689</v>
      </c>
      <c r="K6" s="9">
        <v>-4.4772736728191001E-2</v>
      </c>
      <c r="L6" s="9">
        <v>0.38750000000000001</v>
      </c>
      <c r="M6" s="9">
        <v>0.135929055511951</v>
      </c>
      <c r="N6" s="9">
        <v>0.62</v>
      </c>
      <c r="O6" s="9">
        <v>9.9000000000000005E-2</v>
      </c>
      <c r="P6" s="8">
        <f t="shared" si="3"/>
        <v>0.28497635183731701</v>
      </c>
      <c r="Q6" s="11">
        <v>0</v>
      </c>
    </row>
    <row r="7" spans="1:17" x14ac:dyDescent="0.15">
      <c r="A7" s="1" t="s">
        <v>23</v>
      </c>
      <c r="B7" s="1">
        <v>35</v>
      </c>
      <c r="D7" s="1">
        <v>290.59942626953102</v>
      </c>
      <c r="E7" s="1">
        <v>167.26194763183599</v>
      </c>
      <c r="F7" s="1">
        <v>86.418060302734403</v>
      </c>
      <c r="G7" s="1">
        <v>64.226333618164105</v>
      </c>
      <c r="H7" s="3">
        <f t="shared" si="4"/>
        <v>0.57557562923988881</v>
      </c>
      <c r="I7" s="4">
        <f t="shared" si="5"/>
        <v>0.48333699609339043</v>
      </c>
      <c r="J7" s="6">
        <f t="shared" si="6"/>
        <v>0.25679501028870139</v>
      </c>
      <c r="K7" s="9">
        <v>0.194997988641262</v>
      </c>
      <c r="L7" s="9">
        <v>-8.0500000000000002E-2</v>
      </c>
      <c r="M7" s="9">
        <v>0.34809096157550801</v>
      </c>
      <c r="N7" s="9">
        <v>0.53499999999999992</v>
      </c>
      <c r="O7" s="9">
        <v>0.29249999999999998</v>
      </c>
      <c r="P7" s="8">
        <f t="shared" si="3"/>
        <v>0.39186365385850258</v>
      </c>
      <c r="Q7" s="11">
        <v>9</v>
      </c>
    </row>
    <row r="8" spans="1:17" x14ac:dyDescent="0.15">
      <c r="A8" s="1" t="s">
        <v>13</v>
      </c>
      <c r="B8" s="1">
        <v>36</v>
      </c>
      <c r="D8" s="1">
        <v>219.92239379882801</v>
      </c>
      <c r="E8" s="1">
        <v>50.7041625976563</v>
      </c>
      <c r="F8" s="1">
        <v>34.623420715332003</v>
      </c>
      <c r="G8" s="1">
        <v>27.408298492431602</v>
      </c>
      <c r="H8" s="3">
        <f t="shared" si="4"/>
        <v>0.2305547958160071</v>
      </c>
      <c r="I8" s="4">
        <f t="shared" si="5"/>
        <v>0.3171483574223864</v>
      </c>
      <c r="J8" s="6">
        <f t="shared" si="6"/>
        <v>0.20838848599686133</v>
      </c>
      <c r="K8" s="9">
        <v>0.30950051546096802</v>
      </c>
      <c r="L8" s="9">
        <v>-1.95E-2</v>
      </c>
      <c r="M8" s="9">
        <v>0.65136116246382303</v>
      </c>
      <c r="N8" s="9">
        <v>0.31000000000000005</v>
      </c>
      <c r="O8" s="9">
        <v>0.15049999999999999</v>
      </c>
      <c r="P8" s="8">
        <f t="shared" si="3"/>
        <v>0.37062038748794102</v>
      </c>
      <c r="Q8" s="11">
        <v>8</v>
      </c>
    </row>
    <row r="9" spans="1:17" x14ac:dyDescent="0.15">
      <c r="A9" s="1" t="s">
        <v>22</v>
      </c>
      <c r="B9" s="1">
        <v>37</v>
      </c>
      <c r="C9" s="1" t="s">
        <v>34</v>
      </c>
      <c r="D9" s="1">
        <v>342.71954345703102</v>
      </c>
      <c r="E9" s="1">
        <v>80.724815368652301</v>
      </c>
      <c r="F9" s="1">
        <v>10.144076347351101</v>
      </c>
      <c r="G9" s="1">
        <v>10.144076347351101</v>
      </c>
      <c r="H9" s="3">
        <f t="shared" si="4"/>
        <v>0.23554190856575208</v>
      </c>
      <c r="I9" s="4">
        <f t="shared" si="5"/>
        <v>0.87433757140198642</v>
      </c>
      <c r="J9" s="3">
        <f t="shared" si="6"/>
        <v>0</v>
      </c>
      <c r="K9" s="9">
        <v>1.46816557645797</v>
      </c>
      <c r="L9" s="9">
        <v>0.70899999999999996</v>
      </c>
      <c r="M9" s="9">
        <v>1.7537812193234701</v>
      </c>
      <c r="N9" s="9">
        <v>1.87</v>
      </c>
      <c r="O9" s="9">
        <v>1.4255</v>
      </c>
      <c r="P9" s="8">
        <f t="shared" si="3"/>
        <v>1.6830937397744901</v>
      </c>
      <c r="Q9" s="11">
        <v>3</v>
      </c>
    </row>
    <row r="10" spans="1:17" x14ac:dyDescent="0.15">
      <c r="A10" s="1" t="s">
        <v>13</v>
      </c>
      <c r="B10" s="1">
        <v>38</v>
      </c>
      <c r="C10" s="1" t="s">
        <v>34</v>
      </c>
      <c r="D10" s="1">
        <v>229.29251098632801</v>
      </c>
      <c r="E10" s="1">
        <v>31.985345840454102</v>
      </c>
      <c r="F10" s="1">
        <v>31.985345840454102</v>
      </c>
      <c r="G10" s="1">
        <v>31.985345840454102</v>
      </c>
      <c r="H10" s="5">
        <f t="shared" si="4"/>
        <v>0.13949581564118893</v>
      </c>
      <c r="I10" s="3">
        <f t="shared" si="5"/>
        <v>0</v>
      </c>
      <c r="J10" s="3">
        <f t="shared" si="6"/>
        <v>0</v>
      </c>
      <c r="K10" s="9">
        <v>8.5084084421396103E-2</v>
      </c>
      <c r="L10" s="9">
        <v>0.65700000000000003</v>
      </c>
      <c r="M10" s="9">
        <v>0.35046325499812703</v>
      </c>
      <c r="N10" s="9">
        <v>0.11</v>
      </c>
      <c r="O10" s="9">
        <v>8.1000000000000003E-2</v>
      </c>
      <c r="P10" s="8">
        <f t="shared" si="3"/>
        <v>0.18048775166604233</v>
      </c>
      <c r="Q10" s="11">
        <v>3</v>
      </c>
    </row>
    <row r="11" spans="1:17" x14ac:dyDescent="0.15">
      <c r="A11" s="1" t="s">
        <v>24</v>
      </c>
      <c r="B11" s="1">
        <v>39</v>
      </c>
      <c r="C11" s="1" t="s">
        <v>33</v>
      </c>
      <c r="D11" s="1">
        <v>274.94607543945301</v>
      </c>
      <c r="E11" s="1">
        <v>96.784202575683594</v>
      </c>
      <c r="F11" s="1">
        <v>96.784202575683594</v>
      </c>
      <c r="G11" s="1">
        <v>50.721229553222699</v>
      </c>
      <c r="H11" s="3">
        <f t="shared" si="4"/>
        <v>0.35201158052898573</v>
      </c>
      <c r="I11" s="3">
        <f t="shared" si="5"/>
        <v>0</v>
      </c>
      <c r="J11" s="6">
        <f t="shared" si="6"/>
        <v>0.47593483023678823</v>
      </c>
      <c r="K11" s="9">
        <v>8.8228255510330103E-2</v>
      </c>
      <c r="L11" s="9">
        <v>-0.35049999999999998</v>
      </c>
      <c r="M11" s="9">
        <v>0.1518877139315</v>
      </c>
      <c r="N11" s="9">
        <v>0.57999999999999996</v>
      </c>
      <c r="O11" s="9">
        <v>0.10700000000000001</v>
      </c>
      <c r="P11" s="8">
        <f t="shared" si="3"/>
        <v>0.27962923797716666</v>
      </c>
      <c r="Q11" s="11">
        <v>1</v>
      </c>
    </row>
    <row r="12" spans="1:17" x14ac:dyDescent="0.15">
      <c r="A12" s="1" t="s">
        <v>22</v>
      </c>
      <c r="B12" s="1">
        <v>40</v>
      </c>
      <c r="C12" s="1" t="s">
        <v>33</v>
      </c>
      <c r="D12" s="1">
        <v>325.00692749023398</v>
      </c>
      <c r="E12" s="1">
        <v>128.79994201660199</v>
      </c>
      <c r="F12" s="1">
        <v>36.481895446777301</v>
      </c>
      <c r="G12" s="1">
        <v>3.0036642551422101</v>
      </c>
      <c r="H12" s="3">
        <f t="shared" si="4"/>
        <v>0.39629906664211723</v>
      </c>
      <c r="I12" s="4">
        <f t="shared" si="5"/>
        <v>0.71675534262216611</v>
      </c>
      <c r="J12" s="6">
        <f t="shared" si="6"/>
        <v>0.91766699020547882</v>
      </c>
      <c r="K12" s="9">
        <v>1.7994981408119199</v>
      </c>
      <c r="L12" s="9">
        <v>2.9235000000000002</v>
      </c>
      <c r="M12" s="9">
        <v>0.70710348089536001</v>
      </c>
      <c r="N12" s="9">
        <v>1.86</v>
      </c>
      <c r="O12" s="9">
        <v>1.1274999999999999</v>
      </c>
      <c r="P12" s="8">
        <f t="shared" si="3"/>
        <v>1.2315344936317867</v>
      </c>
      <c r="Q12" s="11">
        <v>1</v>
      </c>
    </row>
    <row r="13" spans="1:17" x14ac:dyDescent="0.15">
      <c r="A13" s="1" t="s">
        <v>19</v>
      </c>
      <c r="B13" s="1">
        <v>41</v>
      </c>
      <c r="C13" s="1" t="s">
        <v>33</v>
      </c>
      <c r="D13" s="1">
        <v>251.51741027832</v>
      </c>
      <c r="E13" s="1">
        <v>26.082036972045898</v>
      </c>
      <c r="F13" s="1">
        <v>0.96610254049301103</v>
      </c>
      <c r="G13" s="1">
        <v>0.96610254049301103</v>
      </c>
      <c r="H13" s="5">
        <f t="shared" si="4"/>
        <v>0.10369873379017566</v>
      </c>
      <c r="I13" s="4">
        <f t="shared" si="5"/>
        <v>0.96295908400373575</v>
      </c>
      <c r="J13" s="3">
        <f t="shared" si="6"/>
        <v>0</v>
      </c>
      <c r="K13" s="9">
        <v>2.1761851310729901</v>
      </c>
      <c r="L13" s="9">
        <v>0.38100000000000001</v>
      </c>
      <c r="M13" s="9">
        <v>2.0386969049771602</v>
      </c>
      <c r="N13" s="9">
        <v>0.54</v>
      </c>
      <c r="O13" s="9">
        <v>1.1265000000000001</v>
      </c>
      <c r="P13" s="8">
        <f t="shared" si="3"/>
        <v>1.2350656349923868</v>
      </c>
      <c r="Q13" s="11">
        <v>1</v>
      </c>
    </row>
    <row r="14" spans="1:17" x14ac:dyDescent="0.15">
      <c r="A14" s="1" t="s">
        <v>22</v>
      </c>
      <c r="B14" s="1">
        <v>42</v>
      </c>
      <c r="C14" s="1" t="s">
        <v>33</v>
      </c>
      <c r="D14" s="1">
        <v>336.12295532226602</v>
      </c>
      <c r="E14" s="1">
        <v>91.460876464843693</v>
      </c>
      <c r="F14" s="1">
        <v>91.460876464843693</v>
      </c>
      <c r="G14" s="1">
        <v>46.069766998291001</v>
      </c>
      <c r="H14" s="3">
        <f t="shared" si="4"/>
        <v>0.27210541564218177</v>
      </c>
      <c r="I14" s="3">
        <f t="shared" si="5"/>
        <v>0</v>
      </c>
      <c r="J14" s="6">
        <f t="shared" si="6"/>
        <v>0.49628990253554384</v>
      </c>
      <c r="K14" s="9">
        <v>0.39051304757595001</v>
      </c>
      <c r="L14" s="9">
        <v>1.1515</v>
      </c>
      <c r="M14" s="9">
        <v>0.89046757916609398</v>
      </c>
      <c r="N14" s="9">
        <v>1.53</v>
      </c>
      <c r="O14" s="9">
        <v>0.30349999999999999</v>
      </c>
      <c r="P14" s="8">
        <f t="shared" si="3"/>
        <v>0.90798919305536474</v>
      </c>
      <c r="Q14" s="11">
        <v>1</v>
      </c>
    </row>
    <row r="15" spans="1:17" x14ac:dyDescent="0.15">
      <c r="A15" s="1" t="s">
        <v>10</v>
      </c>
      <c r="B15" s="1">
        <v>43</v>
      </c>
      <c r="C15" s="1" t="s">
        <v>33</v>
      </c>
      <c r="D15" s="1">
        <v>320.37042236328102</v>
      </c>
      <c r="E15" s="1">
        <v>130.37020874023401</v>
      </c>
      <c r="F15" s="1">
        <v>100.430389404297</v>
      </c>
      <c r="G15" s="1">
        <v>91.462966918945298</v>
      </c>
      <c r="H15" s="3">
        <f t="shared" si="4"/>
        <v>0.40693584563309637</v>
      </c>
      <c r="I15" s="4">
        <f t="shared" si="5"/>
        <v>0.22965230803298675</v>
      </c>
      <c r="J15" s="6">
        <f t="shared" si="6"/>
        <v>8.928993045373998E-2</v>
      </c>
      <c r="K15" s="9">
        <v>9.5060538500547395E-2</v>
      </c>
      <c r="L15" s="9">
        <v>1.0485</v>
      </c>
      <c r="M15" s="9">
        <v>0.48287223279476099</v>
      </c>
      <c r="N15" s="9">
        <v>0.85</v>
      </c>
      <c r="O15" s="9">
        <v>0.1565</v>
      </c>
      <c r="P15" s="8">
        <f t="shared" si="3"/>
        <v>0.49645741093158696</v>
      </c>
      <c r="Q15" s="11">
        <v>1</v>
      </c>
    </row>
    <row r="16" spans="1:17" x14ac:dyDescent="0.15">
      <c r="A16" s="1" t="s">
        <v>19</v>
      </c>
      <c r="B16" s="1">
        <v>44</v>
      </c>
      <c r="C16" s="1" t="s">
        <v>33</v>
      </c>
      <c r="D16" s="1">
        <v>256.20495605468801</v>
      </c>
      <c r="E16" s="1">
        <v>81.635665893554702</v>
      </c>
      <c r="F16" s="1">
        <v>2.4152562618255602</v>
      </c>
      <c r="G16" s="1">
        <v>2.4152562618255602</v>
      </c>
      <c r="H16" s="3">
        <f t="shared" si="4"/>
        <v>0.31863421828627403</v>
      </c>
      <c r="I16" s="4">
        <f t="shared" si="5"/>
        <v>0.97041420272145718</v>
      </c>
      <c r="J16" s="3">
        <f t="shared" si="6"/>
        <v>0</v>
      </c>
      <c r="K16" s="9">
        <v>1.1035671234130899</v>
      </c>
      <c r="L16" s="9">
        <v>0.22600000000000001</v>
      </c>
      <c r="M16" s="9">
        <v>0.38711526244878702</v>
      </c>
      <c r="N16" s="9">
        <v>1</v>
      </c>
      <c r="O16" s="9">
        <v>0.621</v>
      </c>
      <c r="P16" s="8">
        <f t="shared" si="3"/>
        <v>0.66937175414959571</v>
      </c>
      <c r="Q16" s="11">
        <v>3</v>
      </c>
    </row>
    <row r="17" spans="1:17" x14ac:dyDescent="0.15">
      <c r="A17" s="1" t="s">
        <v>15</v>
      </c>
      <c r="B17" s="1">
        <v>45</v>
      </c>
      <c r="C17" s="1" t="s">
        <v>33</v>
      </c>
      <c r="D17" s="1">
        <v>280.12026977539102</v>
      </c>
      <c r="E17" s="1">
        <v>33.262111663818402</v>
      </c>
      <c r="F17" s="1">
        <v>1.2076281309127801</v>
      </c>
      <c r="G17" s="1">
        <v>1.2076281309127801</v>
      </c>
      <c r="H17" s="5">
        <f t="shared" si="4"/>
        <v>0.11874225199943217</v>
      </c>
      <c r="I17" s="4">
        <f t="shared" si="5"/>
        <v>0.96369358196141208</v>
      </c>
      <c r="J17" s="3">
        <f t="shared" si="6"/>
        <v>0</v>
      </c>
      <c r="K17" s="9">
        <v>2.2541617155075002</v>
      </c>
      <c r="L17" s="9">
        <v>8.5999999999999993E-2</v>
      </c>
      <c r="M17" s="9">
        <v>1.97340347369511</v>
      </c>
      <c r="N17" s="9">
        <v>1.2150000000000001</v>
      </c>
      <c r="O17" s="9">
        <v>1.4115</v>
      </c>
      <c r="P17" s="8">
        <f t="shared" si="3"/>
        <v>1.53330115789837</v>
      </c>
      <c r="Q17" s="11">
        <v>0</v>
      </c>
    </row>
    <row r="18" spans="1:17" x14ac:dyDescent="0.15">
      <c r="A18" s="1" t="s">
        <v>10</v>
      </c>
      <c r="B18" s="1">
        <v>46</v>
      </c>
      <c r="C18" s="1" t="s">
        <v>33</v>
      </c>
      <c r="D18" s="1">
        <v>300.76190185546898</v>
      </c>
      <c r="E18" s="1">
        <v>60.051353454589801</v>
      </c>
      <c r="F18" s="1">
        <v>60.051353454589801</v>
      </c>
      <c r="G18" s="1">
        <v>59.809825897216797</v>
      </c>
      <c r="H18" s="5">
        <f t="shared" si="4"/>
        <v>0.19966409669615487</v>
      </c>
      <c r="I18" s="3">
        <f t="shared" si="5"/>
        <v>0</v>
      </c>
      <c r="J18" s="6">
        <f t="shared" si="6"/>
        <v>4.0220168818617024E-3</v>
      </c>
      <c r="K18" s="9">
        <v>0.65806278586387601</v>
      </c>
      <c r="L18" s="9">
        <v>0.246</v>
      </c>
      <c r="M18" s="9">
        <v>9.4773609191178901E-2</v>
      </c>
      <c r="N18" s="9">
        <v>0.245</v>
      </c>
      <c r="O18" s="9">
        <v>0.11299999999999999</v>
      </c>
      <c r="P18" s="8">
        <f t="shared" si="3"/>
        <v>0.15092453639705963</v>
      </c>
      <c r="Q18" s="11">
        <v>0</v>
      </c>
    </row>
    <row r="19" spans="1:17" x14ac:dyDescent="0.15">
      <c r="A19" s="1" t="s">
        <v>16</v>
      </c>
      <c r="B19" s="1">
        <v>47</v>
      </c>
      <c r="C19" s="1" t="s">
        <v>33</v>
      </c>
      <c r="D19" s="1">
        <v>288.94882202148398</v>
      </c>
      <c r="E19" s="1">
        <v>148.1875</v>
      </c>
      <c r="F19" s="1">
        <v>116.74953460693401</v>
      </c>
      <c r="G19" s="1">
        <v>116.74953460693401</v>
      </c>
      <c r="H19" s="3">
        <f t="shared" si="4"/>
        <v>0.51285033440621519</v>
      </c>
      <c r="I19" s="4">
        <f t="shared" si="5"/>
        <v>0.21214991408226735</v>
      </c>
      <c r="J19" s="3">
        <f t="shared" si="6"/>
        <v>0</v>
      </c>
      <c r="K19" s="9">
        <v>8.7137831375002694E-2</v>
      </c>
      <c r="L19" s="9">
        <v>-9.5500000000000002E-2</v>
      </c>
      <c r="M19" s="9">
        <v>7.0222210139035901E-2</v>
      </c>
      <c r="N19" s="9">
        <v>0.7</v>
      </c>
      <c r="O19" s="9">
        <v>0.14550000000000002</v>
      </c>
      <c r="P19" s="8">
        <f t="shared" si="3"/>
        <v>0.30524073671301194</v>
      </c>
      <c r="Q19" s="11">
        <v>6</v>
      </c>
    </row>
    <row r="20" spans="1:17" x14ac:dyDescent="0.15">
      <c r="A20" s="1" t="s">
        <v>19</v>
      </c>
      <c r="B20" s="1">
        <v>48</v>
      </c>
      <c r="C20" s="1" t="s">
        <v>33</v>
      </c>
      <c r="D20" s="1">
        <v>256.93225097656301</v>
      </c>
      <c r="E20" s="1">
        <v>100.540649414062</v>
      </c>
      <c r="F20" s="1">
        <v>44.462974548339801</v>
      </c>
      <c r="G20" s="1">
        <v>44.462974548339801</v>
      </c>
      <c r="H20" s="3">
        <f t="shared" si="4"/>
        <v>0.39131190822452716</v>
      </c>
      <c r="I20" s="4">
        <f t="shared" si="5"/>
        <v>0.55776121591153127</v>
      </c>
      <c r="J20" s="3">
        <f t="shared" si="6"/>
        <v>0</v>
      </c>
      <c r="K20" s="9">
        <v>0.93201184272766102</v>
      </c>
      <c r="L20" s="9">
        <v>0.26550000000000001</v>
      </c>
      <c r="M20" s="9">
        <v>9.6603895227113906E-2</v>
      </c>
      <c r="N20" s="9">
        <v>0.56000000000000005</v>
      </c>
      <c r="O20" s="9">
        <v>0.29349999999999998</v>
      </c>
      <c r="P20" s="8">
        <f t="shared" si="3"/>
        <v>0.31670129840903799</v>
      </c>
      <c r="Q20" s="11">
        <v>2</v>
      </c>
    </row>
    <row r="21" spans="1:17" x14ac:dyDescent="0.15">
      <c r="A21" s="1" t="s">
        <v>20</v>
      </c>
      <c r="B21" s="1">
        <v>49</v>
      </c>
      <c r="C21" s="1" t="s">
        <v>33</v>
      </c>
      <c r="D21" s="1">
        <v>297.89495849609398</v>
      </c>
      <c r="E21" s="1">
        <v>101.32723236084</v>
      </c>
      <c r="F21" s="1">
        <v>11.2054948806763</v>
      </c>
      <c r="G21" s="1">
        <v>11.2054948806763</v>
      </c>
      <c r="H21" s="3">
        <f t="shared" si="4"/>
        <v>0.34014416649541457</v>
      </c>
      <c r="I21" s="4">
        <f t="shared" si="5"/>
        <v>0.88941280029467285</v>
      </c>
      <c r="J21" s="3">
        <f t="shared" si="6"/>
        <v>0</v>
      </c>
      <c r="K21" s="9">
        <v>-0.66732996702194103</v>
      </c>
      <c r="L21" s="9">
        <v>0.16600000000000001</v>
      </c>
      <c r="M21" s="9">
        <v>9.5197152346372493E-2</v>
      </c>
      <c r="N21" s="9">
        <v>0.60499999999999998</v>
      </c>
      <c r="O21" s="9">
        <v>0.6</v>
      </c>
      <c r="P21" s="8">
        <f t="shared" si="3"/>
        <v>0.43339905078212415</v>
      </c>
      <c r="Q21" s="11">
        <v>3</v>
      </c>
    </row>
    <row r="22" spans="1:17" x14ac:dyDescent="0.15">
      <c r="A22" s="1" t="s">
        <v>18</v>
      </c>
      <c r="B22" s="1">
        <v>50</v>
      </c>
      <c r="C22" s="1" t="s">
        <v>36</v>
      </c>
      <c r="D22" s="1">
        <v>240.591064453125</v>
      </c>
      <c r="E22" s="1">
        <v>97.941925048828097</v>
      </c>
      <c r="F22" s="1">
        <v>97.941925048828097</v>
      </c>
      <c r="G22" s="1">
        <v>97.941925048828097</v>
      </c>
      <c r="H22" s="3">
        <f t="shared" si="4"/>
        <v>0.4070887889018438</v>
      </c>
      <c r="I22" s="3">
        <f t="shared" si="5"/>
        <v>0</v>
      </c>
      <c r="J22" s="3">
        <f t="shared" si="6"/>
        <v>0</v>
      </c>
      <c r="K22" s="9">
        <v>1.24401658773422</v>
      </c>
      <c r="L22" s="9">
        <v>0.2465</v>
      </c>
      <c r="M22" s="9">
        <v>0.21618994201222999</v>
      </c>
      <c r="N22" s="9">
        <v>0.15</v>
      </c>
      <c r="O22" s="9">
        <v>0.185</v>
      </c>
      <c r="P22" s="8">
        <f t="shared" si="3"/>
        <v>0.18372998067074331</v>
      </c>
      <c r="Q22" s="11">
        <v>5</v>
      </c>
    </row>
    <row r="23" spans="1:17" x14ac:dyDescent="0.15">
      <c r="A23" s="1" t="s">
        <v>25</v>
      </c>
      <c r="B23" s="1">
        <v>51</v>
      </c>
      <c r="C23" s="1" t="s">
        <v>36</v>
      </c>
      <c r="D23" s="1">
        <v>252.19398498535199</v>
      </c>
      <c r="E23" s="1">
        <v>124.77751922607401</v>
      </c>
      <c r="F23" s="1">
        <v>75.058235168457003</v>
      </c>
      <c r="G23" s="1">
        <v>75.058235168457003</v>
      </c>
      <c r="H23" s="3">
        <f t="shared" si="4"/>
        <v>0.49476802245430784</v>
      </c>
      <c r="I23" s="4">
        <f t="shared" si="5"/>
        <v>0.39846347616139705</v>
      </c>
      <c r="J23" s="3">
        <f t="shared" si="6"/>
        <v>0</v>
      </c>
      <c r="K23" s="9">
        <v>0.330180123448371</v>
      </c>
      <c r="L23" s="9">
        <v>-0.156</v>
      </c>
      <c r="M23" s="9">
        <v>0.21756235882639799</v>
      </c>
      <c r="N23" s="9">
        <v>0.93500000000000005</v>
      </c>
      <c r="O23" s="9">
        <v>0.47199999999999998</v>
      </c>
      <c r="P23" s="8">
        <f t="shared" si="3"/>
        <v>0.54152078627546596</v>
      </c>
      <c r="Q23" s="11">
        <v>6</v>
      </c>
    </row>
    <row r="24" spans="1:17" x14ac:dyDescent="0.15">
      <c r="A24" s="1" t="s">
        <v>11</v>
      </c>
      <c r="B24" s="1">
        <v>52</v>
      </c>
      <c r="C24" s="1" t="s">
        <v>35</v>
      </c>
      <c r="D24" s="1">
        <v>242.59841918945301</v>
      </c>
      <c r="E24" s="1">
        <v>47.259506225585902</v>
      </c>
      <c r="F24" s="1">
        <v>3.6974287033081099</v>
      </c>
      <c r="G24" s="1">
        <v>3.6974287033081099</v>
      </c>
      <c r="H24" s="5">
        <f t="shared" si="4"/>
        <v>0.19480549948958822</v>
      </c>
      <c r="I24" s="4">
        <f t="shared" si="5"/>
        <v>0.9217632811130313</v>
      </c>
      <c r="J24" s="3">
        <f t="shared" si="6"/>
        <v>0</v>
      </c>
      <c r="K24" s="9">
        <v>-4.1838529519736697E-2</v>
      </c>
      <c r="L24" s="9">
        <v>2.0500000000000001E-2</v>
      </c>
      <c r="M24" s="9">
        <v>7.6560447613398003E-2</v>
      </c>
      <c r="N24" s="9">
        <v>0.79</v>
      </c>
      <c r="O24" s="9">
        <v>0.58850000000000002</v>
      </c>
      <c r="P24" s="8">
        <f t="shared" si="3"/>
        <v>0.48502014920446596</v>
      </c>
      <c r="Q24" s="11">
        <v>0</v>
      </c>
    </row>
    <row r="25" spans="1:17" x14ac:dyDescent="0.15">
      <c r="A25" s="1" t="s">
        <v>14</v>
      </c>
      <c r="B25" s="1">
        <v>53</v>
      </c>
      <c r="C25" s="1" t="s">
        <v>37</v>
      </c>
      <c r="D25" s="1">
        <v>183.22286987304699</v>
      </c>
      <c r="E25" s="1">
        <v>41.876667022705099</v>
      </c>
      <c r="F25" s="1">
        <v>15.8629055023193</v>
      </c>
      <c r="G25" s="1">
        <v>7.6510343551635698</v>
      </c>
      <c r="H25" s="3">
        <f t="shared" si="4"/>
        <v>0.22855589507860541</v>
      </c>
      <c r="I25" s="4">
        <f t="shared" si="5"/>
        <v>0.62119942607374656</v>
      </c>
      <c r="J25" s="6">
        <f t="shared" si="6"/>
        <v>0.51767761876631491</v>
      </c>
      <c r="K25" s="9">
        <v>-0.91411918401718095</v>
      </c>
      <c r="L25" s="9">
        <v>0.17</v>
      </c>
      <c r="M25" s="9">
        <v>0.118162450691064</v>
      </c>
      <c r="N25" s="9">
        <v>0.28000000000000003</v>
      </c>
      <c r="O25" s="9">
        <v>0.19850000000000001</v>
      </c>
      <c r="P25" s="8">
        <f t="shared" si="3"/>
        <v>0.19888748356368802</v>
      </c>
      <c r="Q25" s="11">
        <v>8</v>
      </c>
    </row>
    <row r="26" spans="1:17" x14ac:dyDescent="0.15">
      <c r="A26" s="1" t="s">
        <v>24</v>
      </c>
      <c r="B26" s="1">
        <v>54</v>
      </c>
      <c r="C26" s="1" t="s">
        <v>37</v>
      </c>
      <c r="D26" s="1">
        <v>273.76861572265602</v>
      </c>
      <c r="E26" s="1">
        <v>59.735588073730497</v>
      </c>
      <c r="F26" s="1">
        <v>23.747255325317401</v>
      </c>
      <c r="G26" s="1">
        <v>5.0412259101867702</v>
      </c>
      <c r="H26" s="3">
        <f t="shared" si="4"/>
        <v>0.21819735588043526</v>
      </c>
      <c r="I26" s="4">
        <f t="shared" si="5"/>
        <v>0.60246050819811781</v>
      </c>
      <c r="J26" s="6">
        <f t="shared" si="6"/>
        <v>0.78771332345038525</v>
      </c>
      <c r="K26" s="9">
        <v>3.16251397132873</v>
      </c>
      <c r="L26" s="9">
        <v>-0.3725</v>
      </c>
      <c r="M26" s="9">
        <v>1.0789646406968401</v>
      </c>
      <c r="N26" s="9">
        <v>1.19</v>
      </c>
      <c r="O26" s="9">
        <v>0.87350000000000005</v>
      </c>
      <c r="P26" s="8">
        <f t="shared" si="3"/>
        <v>1.0474882135656134</v>
      </c>
      <c r="Q26" s="11">
        <v>4</v>
      </c>
    </row>
    <row r="27" spans="1:17" x14ac:dyDescent="0.15">
      <c r="A27" s="1" t="s">
        <v>13</v>
      </c>
      <c r="B27" s="1">
        <v>55</v>
      </c>
      <c r="C27" s="1" t="s">
        <v>39</v>
      </c>
      <c r="D27" s="1">
        <v>217.42340087890599</v>
      </c>
      <c r="E27" s="1">
        <v>64.585350036621094</v>
      </c>
      <c r="F27" s="1">
        <v>21.706495285034201</v>
      </c>
      <c r="G27" s="1">
        <v>8.9056358337402308</v>
      </c>
      <c r="H27" s="3">
        <f t="shared" si="4"/>
        <v>0.29704875268965147</v>
      </c>
      <c r="I27" s="4">
        <f t="shared" si="5"/>
        <v>0.66390992271891047</v>
      </c>
      <c r="J27" s="6">
        <f t="shared" si="6"/>
        <v>0.58972483964832745</v>
      </c>
      <c r="K27" s="9">
        <v>0.104753434658051</v>
      </c>
      <c r="L27" s="9">
        <v>0.12</v>
      </c>
      <c r="M27" s="9">
        <v>0.52064991990725196</v>
      </c>
      <c r="N27" s="9">
        <v>0.27</v>
      </c>
      <c r="O27" s="9">
        <v>2.2499999999999999E-2</v>
      </c>
      <c r="P27" s="8">
        <f t="shared" si="3"/>
        <v>0.27104997330241731</v>
      </c>
      <c r="Q27" s="11">
        <v>6</v>
      </c>
    </row>
    <row r="28" spans="1:17" x14ac:dyDescent="0.15">
      <c r="A28" s="1" t="s">
        <v>13</v>
      </c>
      <c r="B28" s="1">
        <v>56</v>
      </c>
      <c r="C28" s="1" t="s">
        <v>39</v>
      </c>
      <c r="D28" s="1">
        <v>224.12535095214801</v>
      </c>
      <c r="E28" s="1">
        <v>95.503623962402301</v>
      </c>
      <c r="F28" s="1">
        <v>95.503623962402301</v>
      </c>
      <c r="G28" s="1">
        <v>69.311485290527301</v>
      </c>
      <c r="H28" s="3">
        <f t="shared" si="4"/>
        <v>0.4261170079898407</v>
      </c>
      <c r="I28" s="3">
        <f t="shared" si="5"/>
        <v>0</v>
      </c>
      <c r="J28" s="6">
        <f t="shared" si="6"/>
        <v>0.27425282502563753</v>
      </c>
      <c r="K28" s="9">
        <v>-0.43116752803325598</v>
      </c>
      <c r="L28" s="9">
        <v>-0.13600000000000001</v>
      </c>
      <c r="M28" s="9">
        <v>8.5807353258132602E-2</v>
      </c>
      <c r="N28" s="9">
        <v>0.255</v>
      </c>
      <c r="O28" s="9">
        <v>6.3500000000000001E-2</v>
      </c>
      <c r="P28" s="8">
        <f t="shared" si="3"/>
        <v>0.13476911775271086</v>
      </c>
      <c r="Q28" s="11">
        <v>1</v>
      </c>
    </row>
    <row r="29" spans="1:17" x14ac:dyDescent="0.15">
      <c r="A29" s="1" t="s">
        <v>10</v>
      </c>
      <c r="B29" s="1">
        <v>57</v>
      </c>
      <c r="C29" s="1" t="s">
        <v>38</v>
      </c>
      <c r="D29" s="1">
        <v>312.34695434570301</v>
      </c>
      <c r="E29" s="1">
        <v>172.96228027343699</v>
      </c>
      <c r="F29" s="1">
        <v>129.90928649902301</v>
      </c>
      <c r="G29" s="1">
        <v>129.90928649902301</v>
      </c>
      <c r="H29" s="3">
        <f t="shared" si="4"/>
        <v>0.55375049401635523</v>
      </c>
      <c r="I29" s="4">
        <f t="shared" si="5"/>
        <v>0.2489155075103732</v>
      </c>
      <c r="J29" s="3">
        <f t="shared" si="6"/>
        <v>0</v>
      </c>
      <c r="K29" s="9">
        <v>-0.218006566166878</v>
      </c>
      <c r="L29" s="9">
        <v>0.373</v>
      </c>
      <c r="M29" s="9">
        <v>0.59305265545844998</v>
      </c>
      <c r="N29" s="9">
        <v>1.05</v>
      </c>
      <c r="O29" s="9">
        <v>0.16649999999999998</v>
      </c>
      <c r="P29" s="8">
        <f t="shared" si="3"/>
        <v>0.60318421848615011</v>
      </c>
      <c r="Q29" s="11">
        <v>1</v>
      </c>
    </row>
    <row r="30" spans="1:17" x14ac:dyDescent="0.15">
      <c r="A30" s="1" t="s">
        <v>9</v>
      </c>
      <c r="B30" s="1">
        <v>58</v>
      </c>
      <c r="C30" s="1" t="s">
        <v>38</v>
      </c>
      <c r="D30" s="1">
        <v>212.75297546386699</v>
      </c>
      <c r="E30" s="1">
        <v>38.709114074707003</v>
      </c>
      <c r="F30" s="1">
        <v>0</v>
      </c>
      <c r="G30" s="1">
        <v>0</v>
      </c>
      <c r="H30" s="5">
        <f t="shared" si="4"/>
        <v>0.18194393751866086</v>
      </c>
      <c r="I30" s="4">
        <f t="shared" si="5"/>
        <v>1</v>
      </c>
      <c r="J30" s="3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8">
        <f t="shared" si="3"/>
        <v>0</v>
      </c>
      <c r="Q30" s="11">
        <v>1</v>
      </c>
    </row>
    <row r="31" spans="1:17" x14ac:dyDescent="0.15">
      <c r="A31" s="1" t="s">
        <v>26</v>
      </c>
      <c r="B31" s="1">
        <v>59</v>
      </c>
      <c r="C31" s="1" t="s">
        <v>38</v>
      </c>
      <c r="D31" s="1">
        <v>288.98959350585898</v>
      </c>
      <c r="E31" s="1">
        <v>15.699165344238301</v>
      </c>
      <c r="F31" s="1">
        <v>15.699165344238301</v>
      </c>
      <c r="G31" s="1">
        <v>15.699165344238301</v>
      </c>
      <c r="H31" s="5">
        <f t="shared" si="4"/>
        <v>5.4324327577975624E-2</v>
      </c>
      <c r="I31" s="3">
        <f t="shared" si="5"/>
        <v>0</v>
      </c>
      <c r="J31" s="3">
        <v>0</v>
      </c>
      <c r="K31" s="9">
        <v>0.14586658775806299</v>
      </c>
      <c r="L31" s="9">
        <v>0.13200000000000001</v>
      </c>
      <c r="M31" s="9">
        <v>0.96407002210616599</v>
      </c>
      <c r="N31" s="9">
        <v>0.63</v>
      </c>
      <c r="O31" s="9">
        <v>0.23699999999999999</v>
      </c>
      <c r="P31" s="8">
        <f t="shared" si="3"/>
        <v>0.61035667403538874</v>
      </c>
      <c r="Q31" s="11">
        <v>3</v>
      </c>
    </row>
    <row r="32" spans="1:17" x14ac:dyDescent="0.15">
      <c r="A32" s="1" t="s">
        <v>14</v>
      </c>
      <c r="B32" s="1">
        <v>60</v>
      </c>
      <c r="C32" s="1" t="s">
        <v>38</v>
      </c>
      <c r="D32" s="1">
        <v>186.58122253418</v>
      </c>
      <c r="E32" s="1">
        <v>34.595176696777301</v>
      </c>
      <c r="F32" s="1">
        <v>22.923820495605501</v>
      </c>
      <c r="G32" s="1">
        <v>22.923820495605501</v>
      </c>
      <c r="H32" s="5">
        <f t="shared" si="4"/>
        <v>0.18541617546985348</v>
      </c>
      <c r="I32" s="4">
        <f t="shared" si="5"/>
        <v>0.33736946347954455</v>
      </c>
      <c r="J32" s="3">
        <v>0</v>
      </c>
      <c r="K32" s="9">
        <v>-0.81409415602683999</v>
      </c>
      <c r="L32" s="9">
        <v>0.61399999999999999</v>
      </c>
      <c r="M32" s="9">
        <v>0.84840470552444402</v>
      </c>
      <c r="N32" s="9">
        <v>0.61499999999999999</v>
      </c>
      <c r="O32" s="9">
        <v>0.58450000000000002</v>
      </c>
      <c r="P32" s="8">
        <f t="shared" si="3"/>
        <v>0.68263490184148135</v>
      </c>
      <c r="Q32" s="11">
        <v>6</v>
      </c>
    </row>
    <row r="33" spans="1:17" x14ac:dyDescent="0.15">
      <c r="A33" s="1" t="s">
        <v>24</v>
      </c>
      <c r="B33" s="1">
        <v>61</v>
      </c>
      <c r="C33" s="1" t="s">
        <v>38</v>
      </c>
      <c r="D33" s="1">
        <v>277.27352905273398</v>
      </c>
      <c r="E33" s="1">
        <v>119.150260925293</v>
      </c>
      <c r="F33" s="1">
        <v>8.6949224472045898</v>
      </c>
      <c r="G33" s="1">
        <v>8.6949224472045898</v>
      </c>
      <c r="H33" s="3">
        <f t="shared" si="4"/>
        <v>0.42972100990798906</v>
      </c>
      <c r="I33" s="4">
        <f t="shared" si="5"/>
        <v>0.92702556939714731</v>
      </c>
      <c r="J33" s="3">
        <v>0</v>
      </c>
      <c r="K33" s="9">
        <v>6.1001826077699599E-2</v>
      </c>
      <c r="L33" s="9">
        <v>0.27900000000000003</v>
      </c>
      <c r="M33" s="9">
        <v>2.22932996352514</v>
      </c>
      <c r="N33" s="9">
        <v>1.69</v>
      </c>
      <c r="O33" s="9">
        <v>1.506</v>
      </c>
      <c r="P33" s="8">
        <f t="shared" si="3"/>
        <v>1.8084433211750468</v>
      </c>
      <c r="Q33" s="11">
        <v>1</v>
      </c>
    </row>
    <row r="34" spans="1:17" x14ac:dyDescent="0.15">
      <c r="A34" s="1" t="s">
        <v>26</v>
      </c>
      <c r="B34" s="1">
        <v>62</v>
      </c>
      <c r="C34" s="1" t="s">
        <v>38</v>
      </c>
      <c r="D34" s="1">
        <v>288.12716674804699</v>
      </c>
      <c r="E34" s="1">
        <v>74.694244384765597</v>
      </c>
      <c r="F34" s="1">
        <v>3.0883107185363801</v>
      </c>
      <c r="G34" s="1">
        <v>3.0883107185363801</v>
      </c>
      <c r="H34" s="3">
        <f t="shared" si="4"/>
        <v>0.25924054724795192</v>
      </c>
      <c r="I34" s="4">
        <f t="shared" si="5"/>
        <v>0.95865396666136893</v>
      </c>
      <c r="J34" s="3">
        <v>0</v>
      </c>
      <c r="K34" s="9">
        <v>2.4889054298400901</v>
      </c>
      <c r="L34" s="9">
        <v>0.16200000000000001</v>
      </c>
      <c r="M34" s="9">
        <v>2.9082860946655198</v>
      </c>
      <c r="N34" s="9">
        <v>1.7</v>
      </c>
      <c r="O34" s="9">
        <v>1.2415</v>
      </c>
      <c r="P34" s="8">
        <f t="shared" si="3"/>
        <v>1.94992869822184</v>
      </c>
      <c r="Q34" s="11">
        <v>4</v>
      </c>
    </row>
    <row r="35" spans="1:17" x14ac:dyDescent="0.15">
      <c r="A35" s="1" t="s">
        <v>21</v>
      </c>
      <c r="B35" s="1">
        <v>63</v>
      </c>
      <c r="C35" s="1" t="s">
        <v>38</v>
      </c>
      <c r="D35" s="1">
        <v>274.26223754882801</v>
      </c>
      <c r="E35" s="1">
        <v>28.036197662353501</v>
      </c>
      <c r="F35" s="1">
        <v>16.976058959960898</v>
      </c>
      <c r="G35" s="1">
        <v>16.976058959960898</v>
      </c>
      <c r="H35" s="5">
        <f t="shared" si="4"/>
        <v>0.10222405356611336</v>
      </c>
      <c r="I35" s="4">
        <f t="shared" si="5"/>
        <v>0.39449496096412379</v>
      </c>
      <c r="J35" s="3">
        <v>0</v>
      </c>
      <c r="K35" s="9">
        <v>0.70948344469070401</v>
      </c>
      <c r="L35" s="9">
        <v>0.311</v>
      </c>
      <c r="M35" s="9">
        <v>0.520428746938705</v>
      </c>
      <c r="N35" s="9">
        <v>0.81</v>
      </c>
      <c r="O35" s="9">
        <v>0.626</v>
      </c>
      <c r="P35" s="8">
        <f t="shared" si="3"/>
        <v>0.65214291564623494</v>
      </c>
      <c r="Q35" s="11">
        <v>2</v>
      </c>
    </row>
    <row r="36" spans="1:17" x14ac:dyDescent="0.15">
      <c r="A36" s="1" t="s">
        <v>13</v>
      </c>
      <c r="B36" s="1">
        <v>64</v>
      </c>
      <c r="C36" s="1" t="s">
        <v>38</v>
      </c>
      <c r="D36" s="1">
        <v>231.36532592773401</v>
      </c>
      <c r="E36" s="1">
        <v>79.925994873046903</v>
      </c>
      <c r="F36" s="1">
        <v>25.694454193115199</v>
      </c>
      <c r="G36" s="1">
        <v>25.694454193115199</v>
      </c>
      <c r="H36" s="3">
        <f t="shared" si="4"/>
        <v>0.34545364372365572</v>
      </c>
      <c r="I36" s="4">
        <f t="shared" si="5"/>
        <v>0.67852193477318823</v>
      </c>
      <c r="J36" s="3">
        <v>0</v>
      </c>
      <c r="K36" s="9">
        <v>-0.23626245558261799</v>
      </c>
      <c r="L36" s="9">
        <v>0.113</v>
      </c>
      <c r="M36" s="9">
        <v>0.63020408153533902</v>
      </c>
      <c r="N36" s="9">
        <v>0.09</v>
      </c>
      <c r="O36" s="9">
        <v>0.625</v>
      </c>
      <c r="P36" s="8">
        <f t="shared" si="3"/>
        <v>0.44840136051177965</v>
      </c>
      <c r="Q36" s="11">
        <v>5</v>
      </c>
    </row>
    <row r="37" spans="1:17" x14ac:dyDescent="0.15">
      <c r="A37" s="1" t="s">
        <v>17</v>
      </c>
      <c r="B37" s="1">
        <v>65</v>
      </c>
      <c r="C37" s="1" t="s">
        <v>38</v>
      </c>
      <c r="D37" s="1">
        <v>297.18618774414102</v>
      </c>
      <c r="E37" s="1">
        <v>108.83683013916</v>
      </c>
      <c r="F37" s="1">
        <v>7.2457685470581099</v>
      </c>
      <c r="G37" s="1">
        <v>7.2457685470581099</v>
      </c>
      <c r="H37" s="3">
        <f t="shared" ref="H37:H68" si="7">E37/D37</f>
        <v>0.36622438938131874</v>
      </c>
      <c r="I37" s="4">
        <f t="shared" ref="I37:I68" si="8">(E37-F37)/E37</f>
        <v>0.93342539894084031</v>
      </c>
      <c r="J37" s="3">
        <v>0</v>
      </c>
      <c r="K37" s="9">
        <v>1.81440716981888</v>
      </c>
      <c r="L37" s="9">
        <v>0.13150000000000001</v>
      </c>
      <c r="M37" s="9">
        <v>2.7444742123285901</v>
      </c>
      <c r="N37" s="9">
        <v>1.9550000000000001</v>
      </c>
      <c r="O37" s="9">
        <v>2.1494999999999997</v>
      </c>
      <c r="P37" s="8">
        <f t="shared" si="3"/>
        <v>2.2829914041095303</v>
      </c>
      <c r="Q37" s="11">
        <v>0</v>
      </c>
    </row>
    <row r="38" spans="1:17" x14ac:dyDescent="0.15">
      <c r="A38" s="1" t="s">
        <v>19</v>
      </c>
      <c r="B38" s="1">
        <v>66</v>
      </c>
      <c r="C38" s="1" t="s">
        <v>38</v>
      </c>
      <c r="D38" s="1">
        <v>254.30680847168</v>
      </c>
      <c r="E38" s="1">
        <v>48.543075561523402</v>
      </c>
      <c r="F38" s="1">
        <v>0.72457689046859697</v>
      </c>
      <c r="G38" s="1">
        <v>0.72457689046859697</v>
      </c>
      <c r="H38" s="5">
        <f t="shared" si="7"/>
        <v>0.19088390064448169</v>
      </c>
      <c r="I38" s="4">
        <f t="shared" si="8"/>
        <v>0.98507352733449549</v>
      </c>
      <c r="J38" s="3">
        <v>0</v>
      </c>
      <c r="K38" s="9">
        <v>1.9623342752456601</v>
      </c>
      <c r="L38" s="9">
        <v>0.34549999999999997</v>
      </c>
      <c r="M38" s="9">
        <v>1.40865000089009</v>
      </c>
      <c r="N38" s="9">
        <v>0.61499999999999999</v>
      </c>
      <c r="O38" s="9">
        <v>1.0885</v>
      </c>
      <c r="P38" s="8">
        <f t="shared" si="3"/>
        <v>1.0373833336300298</v>
      </c>
      <c r="Q38" s="11">
        <v>1</v>
      </c>
    </row>
    <row r="39" spans="1:17" x14ac:dyDescent="0.15">
      <c r="A39" s="1" t="s">
        <v>21</v>
      </c>
      <c r="B39" s="1">
        <v>67</v>
      </c>
      <c r="C39" s="1" t="s">
        <v>38</v>
      </c>
      <c r="D39" s="1">
        <v>266.30331420898398</v>
      </c>
      <c r="E39" s="1">
        <v>79.451820373535199</v>
      </c>
      <c r="F39" s="1">
        <v>77.9517822265625</v>
      </c>
      <c r="G39" s="1">
        <v>77.9517822265625</v>
      </c>
      <c r="H39" s="3">
        <f t="shared" si="7"/>
        <v>0.29835085083163726</v>
      </c>
      <c r="I39" s="4">
        <f t="shared" si="8"/>
        <v>1.8879846174957499E-2</v>
      </c>
      <c r="J39" s="3">
        <v>0</v>
      </c>
      <c r="K39" s="9">
        <v>5.8915784349664699E-2</v>
      </c>
      <c r="L39" s="9">
        <v>0.17599999999999999</v>
      </c>
      <c r="M39" s="9">
        <v>1.0036241809527</v>
      </c>
      <c r="N39" s="9">
        <v>0.61499999999999999</v>
      </c>
      <c r="O39" s="9">
        <v>0.22849999999999998</v>
      </c>
      <c r="P39" s="8">
        <f t="shared" si="3"/>
        <v>0.61570806031756664</v>
      </c>
      <c r="Q39" s="11">
        <v>0</v>
      </c>
    </row>
    <row r="40" spans="1:17" x14ac:dyDescent="0.15">
      <c r="A40" s="1" t="s">
        <v>25</v>
      </c>
      <c r="B40" s="1">
        <v>68</v>
      </c>
      <c r="C40" s="1" t="s">
        <v>38</v>
      </c>
      <c r="D40" s="1">
        <v>264.73577880859398</v>
      </c>
      <c r="E40" s="1">
        <v>63.310768127441399</v>
      </c>
      <c r="F40" s="1">
        <v>17.801383972168001</v>
      </c>
      <c r="G40" s="1">
        <v>17.801383972168001</v>
      </c>
      <c r="H40" s="3">
        <f t="shared" si="7"/>
        <v>0.23914700314541004</v>
      </c>
      <c r="I40" s="4">
        <f t="shared" si="8"/>
        <v>0.71882533574170648</v>
      </c>
      <c r="J40" s="3">
        <v>0</v>
      </c>
      <c r="K40" s="9">
        <v>0.47747769951820401</v>
      </c>
      <c r="L40" s="9">
        <v>-9.8500000000000004E-2</v>
      </c>
      <c r="M40" s="9">
        <v>0.96875668565431905</v>
      </c>
      <c r="N40" s="9">
        <v>1.0499999999999998</v>
      </c>
      <c r="O40" s="9">
        <v>2.1040000000000001</v>
      </c>
      <c r="P40" s="8">
        <f t="shared" si="3"/>
        <v>1.3742522285514396</v>
      </c>
      <c r="Q40" s="11">
        <v>9</v>
      </c>
    </row>
    <row r="41" spans="1:17" x14ac:dyDescent="0.15">
      <c r="A41" s="1" t="s">
        <v>24</v>
      </c>
      <c r="B41" s="1">
        <v>69</v>
      </c>
      <c r="C41" s="1" t="s">
        <v>38</v>
      </c>
      <c r="D41" s="1">
        <v>261.39633178710898</v>
      </c>
      <c r="E41" s="1">
        <v>48.546653747558601</v>
      </c>
      <c r="F41" s="1">
        <v>2.4152562618255602</v>
      </c>
      <c r="G41" s="1">
        <v>2.4152562618255602</v>
      </c>
      <c r="H41" s="5">
        <f t="shared" si="7"/>
        <v>0.1857204858830874</v>
      </c>
      <c r="I41" s="4">
        <f t="shared" si="8"/>
        <v>0.95024875917535256</v>
      </c>
      <c r="J41" s="3">
        <v>0</v>
      </c>
      <c r="K41" s="9">
        <v>3.2727309465408299</v>
      </c>
      <c r="L41" s="9">
        <v>1.056</v>
      </c>
      <c r="M41" s="9">
        <v>1.2219092051188101</v>
      </c>
      <c r="N41" s="9">
        <v>1.4</v>
      </c>
      <c r="O41" s="9">
        <v>1.01</v>
      </c>
      <c r="P41" s="8">
        <f t="shared" si="3"/>
        <v>1.2106364017062701</v>
      </c>
      <c r="Q41" s="11">
        <v>0</v>
      </c>
    </row>
    <row r="42" spans="1:17" x14ac:dyDescent="0.15">
      <c r="A42" s="1" t="s">
        <v>17</v>
      </c>
      <c r="B42" s="1">
        <v>70</v>
      </c>
      <c r="C42" s="1" t="s">
        <v>38</v>
      </c>
      <c r="D42" s="1">
        <v>307.97500610351602</v>
      </c>
      <c r="E42" s="1">
        <v>127.63174438476599</v>
      </c>
      <c r="F42" s="1">
        <v>14.008485794067401</v>
      </c>
      <c r="G42" s="1">
        <v>14.008485794067401</v>
      </c>
      <c r="H42" s="3">
        <f t="shared" si="7"/>
        <v>0.41442241044023759</v>
      </c>
      <c r="I42" s="4">
        <f t="shared" si="8"/>
        <v>0.89024293398485088</v>
      </c>
      <c r="J42" s="3">
        <v>0</v>
      </c>
      <c r="K42" s="9">
        <v>1.13145476579666</v>
      </c>
      <c r="L42" s="9">
        <v>1.0449999999999999</v>
      </c>
      <c r="M42" s="9">
        <v>1.52626019716262</v>
      </c>
      <c r="N42" s="9">
        <v>2.1850000000000001</v>
      </c>
      <c r="O42" s="9">
        <v>1.0605</v>
      </c>
      <c r="P42" s="8">
        <f t="shared" si="3"/>
        <v>1.59058673238754</v>
      </c>
      <c r="Q42" s="11">
        <v>13</v>
      </c>
    </row>
    <row r="43" spans="1:17" x14ac:dyDescent="0.15">
      <c r="A43" s="1" t="s">
        <v>23</v>
      </c>
      <c r="B43" s="1">
        <v>71</v>
      </c>
      <c r="C43" s="1" t="s">
        <v>38</v>
      </c>
      <c r="D43" s="1">
        <v>276.33721923828102</v>
      </c>
      <c r="E43" s="1">
        <v>115.605682373047</v>
      </c>
      <c r="F43" s="1">
        <v>94.200157165527301</v>
      </c>
      <c r="G43" s="1">
        <v>94.200157165527301</v>
      </c>
      <c r="H43" s="3">
        <f t="shared" si="7"/>
        <v>0.41835002426279078</v>
      </c>
      <c r="I43" s="4">
        <f t="shared" si="8"/>
        <v>0.1851598015610201</v>
      </c>
      <c r="J43" s="3">
        <v>0</v>
      </c>
      <c r="K43" s="9">
        <v>0.50475020706653595</v>
      </c>
      <c r="L43" s="9">
        <v>0.4955</v>
      </c>
      <c r="M43" s="9">
        <v>1.1637146969636201</v>
      </c>
      <c r="N43" s="9">
        <v>0.64</v>
      </c>
      <c r="O43" s="9">
        <v>0.39</v>
      </c>
      <c r="P43" s="8">
        <f t="shared" si="3"/>
        <v>0.73123823232120666</v>
      </c>
      <c r="Q43" s="11">
        <v>10</v>
      </c>
    </row>
    <row r="44" spans="1:17" x14ac:dyDescent="0.15">
      <c r="A44" s="1" t="s">
        <v>12</v>
      </c>
      <c r="B44" s="1">
        <v>72</v>
      </c>
      <c r="C44" s="1" t="s">
        <v>38</v>
      </c>
      <c r="D44" s="1">
        <v>346.82846069335898</v>
      </c>
      <c r="E44" s="1">
        <v>115.957473754883</v>
      </c>
      <c r="F44" s="1">
        <v>65.652404785156193</v>
      </c>
      <c r="G44" s="1">
        <v>65.652404785156193</v>
      </c>
      <c r="H44" s="3">
        <f t="shared" si="7"/>
        <v>0.33433667330261091</v>
      </c>
      <c r="I44" s="4">
        <f t="shared" si="8"/>
        <v>0.43382342975205118</v>
      </c>
      <c r="J44" s="3">
        <v>0</v>
      </c>
      <c r="K44" s="9">
        <v>4.2420714860781999E-2</v>
      </c>
      <c r="L44" s="9">
        <v>0.95450000000000002</v>
      </c>
      <c r="M44" s="9">
        <v>1.2331176996231099</v>
      </c>
      <c r="N44" s="9">
        <v>0.28999999999999998</v>
      </c>
      <c r="O44" s="9">
        <v>0.27249999999999996</v>
      </c>
      <c r="P44" s="8">
        <f t="shared" si="3"/>
        <v>0.5985392332077033</v>
      </c>
      <c r="Q44" s="11">
        <v>5</v>
      </c>
    </row>
    <row r="45" spans="1:17" x14ac:dyDescent="0.15">
      <c r="A45" s="1" t="s">
        <v>24</v>
      </c>
      <c r="B45" s="1">
        <v>73</v>
      </c>
      <c r="C45" s="1" t="s">
        <v>38</v>
      </c>
      <c r="D45" s="1">
        <v>270.47421264648398</v>
      </c>
      <c r="E45" s="1">
        <v>18.114421844482401</v>
      </c>
      <c r="F45" s="1">
        <v>0.24152563512325301</v>
      </c>
      <c r="G45" s="1">
        <v>0.24152563512325301</v>
      </c>
      <c r="H45" s="5">
        <f t="shared" si="7"/>
        <v>6.6972824016159963E-2</v>
      </c>
      <c r="I45" s="4">
        <f t="shared" si="8"/>
        <v>0.98666666608535336</v>
      </c>
      <c r="J45" s="3">
        <v>0</v>
      </c>
      <c r="K45" s="9">
        <v>3.0369508266448899</v>
      </c>
      <c r="L45" s="9">
        <v>0.53849999999999998</v>
      </c>
      <c r="M45" s="9">
        <v>1.3042802810668801</v>
      </c>
      <c r="N45" s="9">
        <v>0.79499999999999993</v>
      </c>
      <c r="O45" s="9">
        <v>1.1745000000000001</v>
      </c>
      <c r="P45" s="8">
        <f t="shared" si="3"/>
        <v>1.09126009368896</v>
      </c>
      <c r="Q45" s="11">
        <v>3</v>
      </c>
    </row>
    <row r="46" spans="1:17" x14ac:dyDescent="0.15">
      <c r="A46" s="1" t="s">
        <v>9</v>
      </c>
      <c r="B46" s="1">
        <v>74</v>
      </c>
      <c r="C46" s="1" t="s">
        <v>38</v>
      </c>
      <c r="D46" s="1">
        <v>218.32183837890599</v>
      </c>
      <c r="E46" s="1">
        <v>37.181838989257798</v>
      </c>
      <c r="F46" s="1">
        <v>0.48305127024650601</v>
      </c>
      <c r="G46" s="1">
        <v>0.48305127024650601</v>
      </c>
      <c r="H46" s="5">
        <f t="shared" si="7"/>
        <v>0.17030746564494972</v>
      </c>
      <c r="I46" s="4">
        <f t="shared" si="8"/>
        <v>0.98700840831498238</v>
      </c>
      <c r="J46" s="3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8">
        <f t="shared" si="3"/>
        <v>0</v>
      </c>
      <c r="Q46" s="11">
        <v>2</v>
      </c>
    </row>
    <row r="47" spans="1:17" x14ac:dyDescent="0.15">
      <c r="A47" s="1" t="s">
        <v>14</v>
      </c>
      <c r="B47" s="1">
        <v>75</v>
      </c>
      <c r="C47" s="1" t="s">
        <v>38</v>
      </c>
      <c r="D47" s="1">
        <v>186.23944091796901</v>
      </c>
      <c r="E47" s="1">
        <v>15.5999298095703</v>
      </c>
      <c r="F47" s="1">
        <v>11.8039436340332</v>
      </c>
      <c r="G47" s="1">
        <v>11.8039436340332</v>
      </c>
      <c r="H47" s="5">
        <f t="shared" si="7"/>
        <v>8.3762761167444882E-2</v>
      </c>
      <c r="I47" s="4">
        <f t="shared" si="8"/>
        <v>0.2433335420014727</v>
      </c>
      <c r="J47" s="3">
        <v>0</v>
      </c>
      <c r="K47" s="9">
        <v>-0.943940550088882</v>
      </c>
      <c r="L47" s="9">
        <v>0.27150000000000002</v>
      </c>
      <c r="M47" s="9">
        <v>0.72024379049738196</v>
      </c>
      <c r="N47" s="9">
        <v>0.35</v>
      </c>
      <c r="O47" s="9">
        <v>0.184</v>
      </c>
      <c r="P47" s="8">
        <f t="shared" si="3"/>
        <v>0.41808126349912728</v>
      </c>
      <c r="Q47" s="11">
        <v>2</v>
      </c>
    </row>
    <row r="48" spans="1:17" x14ac:dyDescent="0.15">
      <c r="A48" s="1" t="s">
        <v>23</v>
      </c>
      <c r="B48" s="1">
        <v>76</v>
      </c>
      <c r="C48" s="1" t="s">
        <v>38</v>
      </c>
      <c r="D48" s="1">
        <v>282.94195556640602</v>
      </c>
      <c r="E48" s="1">
        <v>32.439765930175803</v>
      </c>
      <c r="F48" s="1">
        <v>1.28575098514557</v>
      </c>
      <c r="G48" s="1">
        <v>1.28575098514557</v>
      </c>
      <c r="H48" s="5">
        <f t="shared" si="7"/>
        <v>0.11465166367863829</v>
      </c>
      <c r="I48" s="4">
        <f t="shared" si="8"/>
        <v>0.96036497341216787</v>
      </c>
      <c r="J48" s="3">
        <v>0</v>
      </c>
      <c r="K48" s="9">
        <v>1.45833843946456</v>
      </c>
      <c r="L48" s="9">
        <v>0.77</v>
      </c>
      <c r="M48" s="9">
        <v>1.9724819660186701</v>
      </c>
      <c r="N48" s="9">
        <v>0.68</v>
      </c>
      <c r="O48" s="9">
        <v>1.9980000000000002</v>
      </c>
      <c r="P48" s="8">
        <f t="shared" si="3"/>
        <v>1.5501606553395568</v>
      </c>
      <c r="Q48" s="11">
        <v>24</v>
      </c>
    </row>
    <row r="49" spans="1:17" x14ac:dyDescent="0.15">
      <c r="A49" s="1" t="s">
        <v>9</v>
      </c>
      <c r="B49" s="1">
        <v>77</v>
      </c>
      <c r="C49" s="1" t="s">
        <v>38</v>
      </c>
      <c r="D49" s="1">
        <v>212.25613403320301</v>
      </c>
      <c r="E49" s="1">
        <v>0.72457689046859697</v>
      </c>
      <c r="F49" s="1">
        <v>0.72457689046859697</v>
      </c>
      <c r="G49" s="1">
        <v>0.72457689046859697</v>
      </c>
      <c r="H49" s="5">
        <f t="shared" si="7"/>
        <v>3.4136911697225775E-3</v>
      </c>
      <c r="I49" s="3">
        <f t="shared" si="8"/>
        <v>0</v>
      </c>
      <c r="J49" s="3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8">
        <f t="shared" si="3"/>
        <v>0</v>
      </c>
      <c r="Q49" s="11">
        <v>2</v>
      </c>
    </row>
    <row r="50" spans="1:17" x14ac:dyDescent="0.15">
      <c r="A50" s="1" t="s">
        <v>13</v>
      </c>
      <c r="B50" s="1">
        <v>78</v>
      </c>
      <c r="C50" s="1" t="s">
        <v>38</v>
      </c>
      <c r="D50" s="1">
        <v>219.52630615234401</v>
      </c>
      <c r="E50" s="1">
        <v>59.407539367675803</v>
      </c>
      <c r="F50" s="1">
        <v>23.602912902831999</v>
      </c>
      <c r="G50" s="1">
        <v>23.602912902831999</v>
      </c>
      <c r="H50" s="3">
        <f t="shared" si="7"/>
        <v>0.27061694978117534</v>
      </c>
      <c r="I50" s="4">
        <f t="shared" si="8"/>
        <v>0.60269499201519594</v>
      </c>
      <c r="J50" s="3">
        <v>0</v>
      </c>
      <c r="K50" s="9">
        <v>-0.21599660068750301</v>
      </c>
      <c r="L50" s="9">
        <v>0.64900000000000002</v>
      </c>
      <c r="M50" s="9">
        <v>0.78155937294165301</v>
      </c>
      <c r="N50" s="9">
        <v>0.435</v>
      </c>
      <c r="O50" s="9">
        <v>0.249</v>
      </c>
      <c r="P50" s="8">
        <f t="shared" si="3"/>
        <v>0.48851979098055098</v>
      </c>
      <c r="Q50" s="11">
        <v>3</v>
      </c>
    </row>
    <row r="51" spans="1:17" x14ac:dyDescent="0.15">
      <c r="A51" s="1" t="s">
        <v>12</v>
      </c>
      <c r="B51" s="1">
        <v>79</v>
      </c>
      <c r="C51" s="1" t="s">
        <v>38</v>
      </c>
      <c r="D51" s="1">
        <v>351.85537719726602</v>
      </c>
      <c r="E51" s="1">
        <v>104.88865661621099</v>
      </c>
      <c r="F51" s="1">
        <v>103.138916015625</v>
      </c>
      <c r="G51" s="1">
        <v>103.138916015625</v>
      </c>
      <c r="H51" s="3">
        <f t="shared" si="7"/>
        <v>0.29810161621433934</v>
      </c>
      <c r="I51" s="4">
        <f t="shared" si="8"/>
        <v>1.668188588770203E-2</v>
      </c>
      <c r="J51" s="3">
        <v>0</v>
      </c>
      <c r="K51" s="9">
        <v>8.3089323714375093E-2</v>
      </c>
      <c r="L51" s="9">
        <v>1.65</v>
      </c>
      <c r="M51" s="9">
        <v>1.4628459612528499</v>
      </c>
      <c r="N51" s="9">
        <v>0.88500000000000001</v>
      </c>
      <c r="O51" s="9">
        <v>0.45200000000000001</v>
      </c>
      <c r="P51" s="8">
        <f t="shared" si="3"/>
        <v>0.93328198708428334</v>
      </c>
      <c r="Q51" s="11">
        <v>4</v>
      </c>
    </row>
    <row r="52" spans="1:17" x14ac:dyDescent="0.15">
      <c r="A52" s="1" t="s">
        <v>15</v>
      </c>
      <c r="B52" s="1">
        <v>80</v>
      </c>
      <c r="C52" s="1" t="s">
        <v>38</v>
      </c>
      <c r="D52" s="1">
        <v>271.73202514648398</v>
      </c>
      <c r="E52" s="1">
        <v>33.731887817382798</v>
      </c>
      <c r="F52" s="1">
        <v>1.2076281309127801</v>
      </c>
      <c r="G52" s="1">
        <v>1.2076281309127801</v>
      </c>
      <c r="H52" s="5">
        <f t="shared" si="7"/>
        <v>0.12413659302468591</v>
      </c>
      <c r="I52" s="4">
        <f t="shared" si="8"/>
        <v>0.96419921299837652</v>
      </c>
      <c r="J52" s="3">
        <v>0</v>
      </c>
      <c r="K52" s="9">
        <v>1.9885377883911</v>
      </c>
      <c r="L52" s="9">
        <v>1.883</v>
      </c>
      <c r="M52" s="9">
        <v>1.4827995796998299</v>
      </c>
      <c r="N52" s="9">
        <v>1.17</v>
      </c>
      <c r="O52" s="9">
        <v>1.464</v>
      </c>
      <c r="P52" s="8">
        <f t="shared" si="3"/>
        <v>1.3722665265666099</v>
      </c>
      <c r="Q52" s="11">
        <v>1</v>
      </c>
    </row>
    <row r="53" spans="1:17" x14ac:dyDescent="0.15">
      <c r="A53" s="1" t="s">
        <v>9</v>
      </c>
      <c r="B53" s="1">
        <v>81</v>
      </c>
      <c r="C53" s="1" t="s">
        <v>38</v>
      </c>
      <c r="D53" s="1">
        <v>212.09188842773401</v>
      </c>
      <c r="E53" s="1">
        <v>5.5550894737243697</v>
      </c>
      <c r="F53" s="1">
        <v>2.1737306118011501</v>
      </c>
      <c r="G53" s="1">
        <v>2.1737306118011501</v>
      </c>
      <c r="H53" s="5">
        <f t="shared" si="7"/>
        <v>2.6191899722827698E-2</v>
      </c>
      <c r="I53" s="4">
        <f t="shared" si="8"/>
        <v>0.60869566150411825</v>
      </c>
      <c r="J53" s="3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8">
        <f t="shared" si="3"/>
        <v>0</v>
      </c>
      <c r="Q53" s="11">
        <v>2</v>
      </c>
    </row>
    <row r="54" spans="1:17" x14ac:dyDescent="0.15">
      <c r="A54" s="1" t="s">
        <v>20</v>
      </c>
      <c r="B54" s="1">
        <v>82</v>
      </c>
      <c r="C54" s="1" t="s">
        <v>38</v>
      </c>
      <c r="D54" s="1">
        <v>286.86834716796898</v>
      </c>
      <c r="E54" s="1">
        <v>137.84045410156199</v>
      </c>
      <c r="F54" s="1">
        <v>108.73518371582</v>
      </c>
      <c r="G54" s="1">
        <v>108.73518371582</v>
      </c>
      <c r="H54" s="3">
        <f t="shared" si="7"/>
        <v>0.48050074350256833</v>
      </c>
      <c r="I54" s="4">
        <f t="shared" si="8"/>
        <v>0.21115187537250119</v>
      </c>
      <c r="J54" s="3">
        <v>0</v>
      </c>
      <c r="K54" s="9">
        <v>-1.1132766604423501</v>
      </c>
      <c r="L54" s="9">
        <v>0.61699999999999999</v>
      </c>
      <c r="M54" s="9">
        <v>1.0191117301583299</v>
      </c>
      <c r="N54" s="9">
        <v>0.54500000000000004</v>
      </c>
      <c r="O54" s="9">
        <v>0.51</v>
      </c>
      <c r="P54" s="8">
        <f t="shared" si="3"/>
        <v>0.69137057671944324</v>
      </c>
      <c r="Q54" s="11">
        <v>1</v>
      </c>
    </row>
    <row r="55" spans="1:17" x14ac:dyDescent="0.15">
      <c r="A55" s="1" t="s">
        <v>22</v>
      </c>
      <c r="B55" s="1">
        <v>83</v>
      </c>
      <c r="C55" s="1" t="s">
        <v>38</v>
      </c>
      <c r="D55" s="1">
        <v>343.28802490234398</v>
      </c>
      <c r="E55" s="1">
        <v>163.25859069824199</v>
      </c>
      <c r="F55" s="1">
        <v>65.647056579589801</v>
      </c>
      <c r="G55" s="1">
        <v>65.647056579589801</v>
      </c>
      <c r="H55" s="3">
        <f t="shared" si="7"/>
        <v>0.47557321798418273</v>
      </c>
      <c r="I55" s="4">
        <f t="shared" si="8"/>
        <v>0.59789523908773579</v>
      </c>
      <c r="J55" s="3">
        <v>0</v>
      </c>
      <c r="K55" s="9">
        <v>-1.5233368030749201E-2</v>
      </c>
      <c r="L55" s="9">
        <v>0.625</v>
      </c>
      <c r="M55" s="9">
        <v>0.93871254970629703</v>
      </c>
      <c r="N55" s="9">
        <v>1.92</v>
      </c>
      <c r="O55" s="9">
        <v>1.0550000000000002</v>
      </c>
      <c r="P55" s="8">
        <f t="shared" si="3"/>
        <v>1.3045708499020991</v>
      </c>
      <c r="Q55" s="11">
        <v>2</v>
      </c>
    </row>
    <row r="56" spans="1:17" x14ac:dyDescent="0.15">
      <c r="A56" s="1" t="s">
        <v>21</v>
      </c>
      <c r="B56" s="1">
        <v>84</v>
      </c>
      <c r="C56" s="1" t="s">
        <v>38</v>
      </c>
      <c r="D56" s="1">
        <v>259.68322753906301</v>
      </c>
      <c r="E56" s="1">
        <v>97.728721618652301</v>
      </c>
      <c r="F56" s="1">
        <v>48.120887756347699</v>
      </c>
      <c r="G56" s="1">
        <v>48.120887756347699</v>
      </c>
      <c r="H56" s="3">
        <f t="shared" si="7"/>
        <v>0.37633821230888465</v>
      </c>
      <c r="I56" s="4">
        <f t="shared" si="8"/>
        <v>0.5076075184517358</v>
      </c>
      <c r="J56" s="3">
        <v>0</v>
      </c>
      <c r="K56" s="9">
        <v>-0.16996647417545299</v>
      </c>
      <c r="L56" s="9">
        <v>0.25700000000000001</v>
      </c>
      <c r="M56" s="9">
        <v>0.41629223401347698</v>
      </c>
      <c r="N56" s="9">
        <v>0.64</v>
      </c>
      <c r="O56" s="9">
        <v>0.34599999999999997</v>
      </c>
      <c r="P56" s="8">
        <f t="shared" si="3"/>
        <v>0.46743074467115903</v>
      </c>
      <c r="Q56" s="11">
        <v>2</v>
      </c>
    </row>
    <row r="57" spans="1:17" x14ac:dyDescent="0.15">
      <c r="A57" s="1" t="s">
        <v>10</v>
      </c>
      <c r="B57" s="1">
        <v>85</v>
      </c>
      <c r="C57" s="1" t="s">
        <v>42</v>
      </c>
      <c r="D57" s="1">
        <v>301.614501953125</v>
      </c>
      <c r="E57" s="1">
        <v>196.32603454589801</v>
      </c>
      <c r="F57" s="1">
        <v>196.32603454589801</v>
      </c>
      <c r="G57" s="1">
        <v>191.183029174805</v>
      </c>
      <c r="H57" s="3">
        <f t="shared" si="7"/>
        <v>0.65091709209794479</v>
      </c>
      <c r="I57" s="3">
        <f t="shared" si="8"/>
        <v>0</v>
      </c>
      <c r="J57" s="6">
        <v>0</v>
      </c>
      <c r="K57" s="9">
        <v>0.37526807188987699</v>
      </c>
      <c r="L57" s="9">
        <v>1.1930000000000001</v>
      </c>
      <c r="M57" s="9">
        <v>0.40351148943106302</v>
      </c>
      <c r="N57" s="9">
        <v>0.02</v>
      </c>
      <c r="O57" s="9">
        <v>0.35799999999999998</v>
      </c>
      <c r="P57" s="8">
        <f t="shared" si="3"/>
        <v>0.26050382981035436</v>
      </c>
      <c r="Q57" s="11">
        <v>2</v>
      </c>
    </row>
    <row r="58" spans="1:17" x14ac:dyDescent="0.15">
      <c r="A58" s="1" t="s">
        <v>12</v>
      </c>
      <c r="B58" s="1">
        <v>86</v>
      </c>
      <c r="C58" s="1" t="s">
        <v>42</v>
      </c>
      <c r="D58" s="1">
        <v>328.04766845703102</v>
      </c>
      <c r="E58" s="1">
        <v>101.39714813232401</v>
      </c>
      <c r="F58" s="1">
        <v>98.014945983886705</v>
      </c>
      <c r="G58" s="1">
        <v>43.384037017822301</v>
      </c>
      <c r="H58" s="3">
        <f t="shared" si="7"/>
        <v>0.30909272609448651</v>
      </c>
      <c r="I58" s="4">
        <f t="shared" si="8"/>
        <v>3.3355988908322184E-2</v>
      </c>
      <c r="J58" s="6">
        <v>0</v>
      </c>
      <c r="K58" s="9">
        <v>0.414545238018035</v>
      </c>
      <c r="L58" s="9">
        <v>1.097</v>
      </c>
      <c r="M58" s="9">
        <v>0.28908559679985002</v>
      </c>
      <c r="N58" s="9">
        <v>0.87</v>
      </c>
      <c r="O58" s="9">
        <v>0.32600000000000001</v>
      </c>
      <c r="P58" s="8">
        <f t="shared" si="3"/>
        <v>0.49502853226661675</v>
      </c>
      <c r="Q58" s="11">
        <v>3</v>
      </c>
    </row>
    <row r="59" spans="1:17" x14ac:dyDescent="0.15">
      <c r="A59" s="1" t="s">
        <v>13</v>
      </c>
      <c r="B59" s="1">
        <v>87</v>
      </c>
      <c r="C59" s="1" t="s">
        <v>41</v>
      </c>
      <c r="D59" s="1">
        <v>219.04873657226599</v>
      </c>
      <c r="E59" s="1">
        <v>113.582763671875</v>
      </c>
      <c r="F59" s="1">
        <v>60.011997222900398</v>
      </c>
      <c r="G59" s="1">
        <v>32.871307373046903</v>
      </c>
      <c r="H59" s="3">
        <f t="shared" si="7"/>
        <v>0.51852736267393673</v>
      </c>
      <c r="I59" s="4">
        <f t="shared" si="8"/>
        <v>0.4716452102163422</v>
      </c>
      <c r="J59" s="6">
        <v>0</v>
      </c>
      <c r="K59" s="9">
        <v>0.23696976155042601</v>
      </c>
      <c r="L59" s="9">
        <v>0.90300000000000002</v>
      </c>
      <c r="M59" s="9">
        <v>-3.17354410265882E-2</v>
      </c>
      <c r="N59" s="9">
        <v>0.255</v>
      </c>
      <c r="O59" s="9">
        <v>6.6500000000000004E-2</v>
      </c>
      <c r="P59" s="8">
        <f t="shared" si="3"/>
        <v>9.6588186324470596E-2</v>
      </c>
      <c r="Q59" s="11">
        <v>7</v>
      </c>
    </row>
    <row r="60" spans="1:17" x14ac:dyDescent="0.15">
      <c r="A60" s="1" t="s">
        <v>11</v>
      </c>
      <c r="B60" s="1">
        <v>88</v>
      </c>
      <c r="C60" s="1" t="s">
        <v>43</v>
      </c>
      <c r="D60" s="1">
        <v>235.77188110351599</v>
      </c>
      <c r="E60" s="1">
        <v>63.349285125732401</v>
      </c>
      <c r="F60" s="1">
        <v>31.5438423156738</v>
      </c>
      <c r="G60" s="1">
        <v>9.7864589691162092</v>
      </c>
      <c r="H60" s="3">
        <f t="shared" si="7"/>
        <v>0.26868889041912003</v>
      </c>
      <c r="I60" s="4">
        <f t="shared" si="8"/>
        <v>0.50206474701226378</v>
      </c>
      <c r="J60" s="6">
        <v>0</v>
      </c>
      <c r="K60" s="9">
        <v>0.91516369581222501</v>
      </c>
      <c r="L60" s="9">
        <v>1.329</v>
      </c>
      <c r="M60" s="9">
        <v>8.4489477487901504E-2</v>
      </c>
      <c r="N60" s="9">
        <v>1.07</v>
      </c>
      <c r="O60" s="9">
        <v>0.17549999999999999</v>
      </c>
      <c r="P60" s="8">
        <f t="shared" si="3"/>
        <v>0.44332982582930053</v>
      </c>
      <c r="Q60" s="11">
        <v>8</v>
      </c>
    </row>
    <row r="61" spans="1:17" x14ac:dyDescent="0.15">
      <c r="A61" s="1" t="s">
        <v>24</v>
      </c>
      <c r="B61" s="1">
        <v>89</v>
      </c>
      <c r="C61" s="1" t="s">
        <v>43</v>
      </c>
      <c r="D61" s="1">
        <v>279.67974853515602</v>
      </c>
      <c r="E61" s="1">
        <v>86.286880493164105</v>
      </c>
      <c r="F61" s="1">
        <v>1.69067943096161</v>
      </c>
      <c r="G61" s="1">
        <v>1.69067943096161</v>
      </c>
      <c r="H61" s="3">
        <f t="shared" si="7"/>
        <v>0.30852030204224012</v>
      </c>
      <c r="I61" s="4">
        <f t="shared" si="8"/>
        <v>0.98040629790648703</v>
      </c>
      <c r="J61" s="3">
        <v>0</v>
      </c>
      <c r="K61" s="9">
        <v>3.49843621253966</v>
      </c>
      <c r="L61" s="9">
        <v>0.255</v>
      </c>
      <c r="M61" s="9">
        <v>1.4478557407855901</v>
      </c>
      <c r="N61" s="9">
        <v>1.75</v>
      </c>
      <c r="O61" s="9">
        <v>1.486</v>
      </c>
      <c r="P61" s="8">
        <f t="shared" si="3"/>
        <v>1.5612852469285299</v>
      </c>
      <c r="Q61" s="11">
        <v>1</v>
      </c>
    </row>
    <row r="62" spans="1:17" x14ac:dyDescent="0.15">
      <c r="A62" s="1" t="s">
        <v>11</v>
      </c>
      <c r="B62" s="1">
        <v>90</v>
      </c>
      <c r="C62" s="1" t="s">
        <v>44</v>
      </c>
      <c r="D62" s="1">
        <v>244.59564208984401</v>
      </c>
      <c r="E62" s="1">
        <v>46.522010803222699</v>
      </c>
      <c r="F62" s="1">
        <v>38.068611145019503</v>
      </c>
      <c r="G62" s="1">
        <v>34.445728302002003</v>
      </c>
      <c r="H62" s="5">
        <f t="shared" si="7"/>
        <v>0.19019967161203305</v>
      </c>
      <c r="I62" s="4">
        <f t="shared" si="8"/>
        <v>0.18170752966717438</v>
      </c>
      <c r="J62" s="6">
        <v>0</v>
      </c>
      <c r="K62" s="9">
        <v>1.3176671266555799</v>
      </c>
      <c r="L62" s="9">
        <v>1.4350000000000001</v>
      </c>
      <c r="M62" s="9">
        <v>0.88217947880426995</v>
      </c>
      <c r="N62" s="9">
        <v>0.72</v>
      </c>
      <c r="O62" s="9">
        <v>0.20750000000000002</v>
      </c>
      <c r="P62" s="8">
        <f t="shared" si="3"/>
        <v>0.60322649293475672</v>
      </c>
      <c r="Q62" s="11">
        <v>3</v>
      </c>
    </row>
    <row r="63" spans="1:17" x14ac:dyDescent="0.15">
      <c r="A63" s="1" t="s">
        <v>13</v>
      </c>
      <c r="B63" s="1">
        <v>91</v>
      </c>
      <c r="C63" s="1" t="s">
        <v>44</v>
      </c>
      <c r="D63" s="1">
        <v>223.241287231445</v>
      </c>
      <c r="E63" s="1">
        <v>70.951080322265597</v>
      </c>
      <c r="F63" s="1">
        <v>34.721923828125</v>
      </c>
      <c r="G63" s="1">
        <v>34.721923828125</v>
      </c>
      <c r="H63" s="3">
        <f t="shared" si="7"/>
        <v>0.31782239388678668</v>
      </c>
      <c r="I63" s="4">
        <f t="shared" si="8"/>
        <v>0.51062163295590157</v>
      </c>
      <c r="J63" s="3">
        <v>0</v>
      </c>
      <c r="K63" s="9">
        <v>-7.3425380513072E-2</v>
      </c>
      <c r="L63" s="9">
        <v>0.51849999999999996</v>
      </c>
      <c r="M63" s="9">
        <v>0.61575481295585599</v>
      </c>
      <c r="N63" s="9">
        <v>0.31</v>
      </c>
      <c r="O63" s="9">
        <v>0.106</v>
      </c>
      <c r="P63" s="8">
        <f t="shared" si="3"/>
        <v>0.34391827098528532</v>
      </c>
      <c r="Q63" s="11">
        <v>4</v>
      </c>
    </row>
    <row r="64" spans="1:17" x14ac:dyDescent="0.15">
      <c r="A64" s="1" t="s">
        <v>12</v>
      </c>
      <c r="B64" s="1">
        <v>92</v>
      </c>
      <c r="C64" s="1" t="s">
        <v>40</v>
      </c>
      <c r="D64" s="1">
        <v>338.29675292968801</v>
      </c>
      <c r="E64" s="1">
        <v>163.86686706543</v>
      </c>
      <c r="F64" s="1">
        <v>83.432548522949205</v>
      </c>
      <c r="G64" s="1">
        <v>82.972297668457003</v>
      </c>
      <c r="H64" s="3">
        <f t="shared" si="7"/>
        <v>0.48438793942396569</v>
      </c>
      <c r="I64" s="4">
        <f t="shared" si="8"/>
        <v>0.49085162841591629</v>
      </c>
      <c r="J64" s="6">
        <v>0</v>
      </c>
      <c r="K64" s="9">
        <v>0.146565411239862</v>
      </c>
      <c r="L64" s="9">
        <v>1.3794999999999999</v>
      </c>
      <c r="M64" s="9">
        <v>0.17360832045475599</v>
      </c>
      <c r="N64" s="9">
        <v>0.77</v>
      </c>
      <c r="O64" s="9">
        <v>0.16849999999999998</v>
      </c>
      <c r="P64" s="8">
        <f t="shared" si="3"/>
        <v>0.3707027734849187</v>
      </c>
      <c r="Q64" s="11">
        <v>3</v>
      </c>
    </row>
    <row r="65" spans="1:17" x14ac:dyDescent="0.15">
      <c r="A65" s="1" t="s">
        <v>23</v>
      </c>
      <c r="B65" s="1">
        <v>93</v>
      </c>
      <c r="C65" s="1" t="s">
        <v>40</v>
      </c>
      <c r="D65" s="1">
        <v>283.99874877929699</v>
      </c>
      <c r="E65" s="1">
        <v>10.9288835525513</v>
      </c>
      <c r="F65" s="1">
        <v>0</v>
      </c>
      <c r="G65" s="1">
        <v>0</v>
      </c>
      <c r="H65" s="5">
        <f t="shared" si="7"/>
        <v>3.8482153881052576E-2</v>
      </c>
      <c r="I65" s="4">
        <f t="shared" si="8"/>
        <v>1</v>
      </c>
      <c r="J65" s="3">
        <v>0</v>
      </c>
      <c r="K65" s="9">
        <v>2.0703526735305702</v>
      </c>
      <c r="L65" s="9">
        <v>0.11700000000000001</v>
      </c>
      <c r="M65" s="9">
        <v>0.90013524889945695</v>
      </c>
      <c r="N65" s="9">
        <v>0.46500000000000002</v>
      </c>
      <c r="O65" s="9">
        <v>2.1604999999999999</v>
      </c>
      <c r="P65" s="8">
        <f t="shared" si="3"/>
        <v>1.1752117496331522</v>
      </c>
      <c r="Q65" s="11">
        <v>8</v>
      </c>
    </row>
    <row r="66" spans="1:17" x14ac:dyDescent="0.15">
      <c r="A66" s="1" t="s">
        <v>24</v>
      </c>
      <c r="B66" s="1">
        <v>94</v>
      </c>
      <c r="C66" s="1" t="s">
        <v>40</v>
      </c>
      <c r="D66" s="1">
        <v>267.12655639648398</v>
      </c>
      <c r="E66" s="1">
        <v>65.453445434570298</v>
      </c>
      <c r="F66" s="1">
        <v>0.96610254049301103</v>
      </c>
      <c r="G66" s="1">
        <v>0.96610254049301103</v>
      </c>
      <c r="H66" s="3">
        <f t="shared" si="7"/>
        <v>0.24502784866294117</v>
      </c>
      <c r="I66" s="4">
        <f t="shared" si="8"/>
        <v>0.98523985201880981</v>
      </c>
      <c r="J66" s="3">
        <v>0</v>
      </c>
      <c r="K66" s="9">
        <v>3.5846410989761299</v>
      </c>
      <c r="L66" s="9">
        <v>1.6105</v>
      </c>
      <c r="M66" s="9">
        <v>1.8359877268473299</v>
      </c>
      <c r="N66" s="9">
        <v>0.91500000000000004</v>
      </c>
      <c r="O66" s="9">
        <v>1.1365000000000001</v>
      </c>
      <c r="P66" s="8">
        <f t="shared" ref="P66:P97" si="9">AVERAGE(M66:O66)</f>
        <v>1.2958292422824433</v>
      </c>
      <c r="Q66" s="11">
        <v>3</v>
      </c>
    </row>
    <row r="67" spans="1:17" x14ac:dyDescent="0.15">
      <c r="A67" s="1" t="s">
        <v>16</v>
      </c>
      <c r="B67" s="1">
        <v>95</v>
      </c>
      <c r="C67" s="1" t="s">
        <v>40</v>
      </c>
      <c r="D67" s="1">
        <v>284.55694580078102</v>
      </c>
      <c r="E67" s="1">
        <v>69.398086547851605</v>
      </c>
      <c r="F67" s="1">
        <v>55.522369384765597</v>
      </c>
      <c r="G67" s="1">
        <v>55.522369384765597</v>
      </c>
      <c r="H67" s="3">
        <f t="shared" si="7"/>
        <v>0.24388118994093141</v>
      </c>
      <c r="I67" s="4">
        <f t="shared" si="8"/>
        <v>0.19994380037435724</v>
      </c>
      <c r="J67" s="3">
        <v>0</v>
      </c>
      <c r="K67" s="9">
        <v>1.5688075423240599</v>
      </c>
      <c r="L67" s="9">
        <v>0.54049999999999998</v>
      </c>
      <c r="M67" s="9">
        <v>0.51796852548917105</v>
      </c>
      <c r="N67" s="9">
        <v>0.46</v>
      </c>
      <c r="O67" s="9">
        <v>0.29799999999999999</v>
      </c>
      <c r="P67" s="8">
        <f t="shared" si="9"/>
        <v>0.42532284182972369</v>
      </c>
      <c r="Q67" s="11">
        <v>0</v>
      </c>
    </row>
    <row r="68" spans="1:17" x14ac:dyDescent="0.15">
      <c r="A68" s="1" t="s">
        <v>11</v>
      </c>
      <c r="B68" s="1">
        <v>96</v>
      </c>
      <c r="C68" s="1" t="s">
        <v>40</v>
      </c>
      <c r="D68" s="1">
        <v>250.06204223632801</v>
      </c>
      <c r="E68" s="1">
        <v>53.157711029052699</v>
      </c>
      <c r="F68" s="1">
        <v>13.6212615966797</v>
      </c>
      <c r="G68" s="1">
        <v>13.6212615966797</v>
      </c>
      <c r="H68" s="3">
        <f t="shared" si="7"/>
        <v>0.21257808883610788</v>
      </c>
      <c r="I68" s="4">
        <f t="shared" si="8"/>
        <v>0.74375755966551749</v>
      </c>
      <c r="J68" s="3">
        <v>0</v>
      </c>
      <c r="K68" s="9">
        <v>-0.58972090482711703</v>
      </c>
      <c r="L68" s="9">
        <v>0.371</v>
      </c>
      <c r="M68" s="9">
        <v>0.82454952597618103</v>
      </c>
      <c r="N68" s="9">
        <v>0.47</v>
      </c>
      <c r="O68" s="9">
        <v>0.86549999999999994</v>
      </c>
      <c r="P68" s="8">
        <f t="shared" si="9"/>
        <v>0.72001650865872691</v>
      </c>
      <c r="Q68" s="11">
        <v>2</v>
      </c>
    </row>
    <row r="69" spans="1:17" x14ac:dyDescent="0.15">
      <c r="A69" s="1" t="s">
        <v>9</v>
      </c>
      <c r="B69" s="1">
        <v>97</v>
      </c>
      <c r="C69" s="1" t="s">
        <v>40</v>
      </c>
      <c r="D69" s="1">
        <v>210.201904296875</v>
      </c>
      <c r="E69" s="1">
        <v>0</v>
      </c>
      <c r="F69" s="1">
        <v>0</v>
      </c>
      <c r="G69" s="1">
        <v>0</v>
      </c>
      <c r="H69" s="5">
        <f t="shared" ref="H69:H97" si="10">E69/D69</f>
        <v>0</v>
      </c>
      <c r="I69" s="3">
        <v>0</v>
      </c>
      <c r="J69" s="3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8">
        <f t="shared" si="9"/>
        <v>0</v>
      </c>
      <c r="Q69" s="11">
        <v>1</v>
      </c>
    </row>
    <row r="70" spans="1:17" x14ac:dyDescent="0.15">
      <c r="A70" s="1" t="s">
        <v>19</v>
      </c>
      <c r="B70" s="1">
        <v>98</v>
      </c>
      <c r="C70" s="1" t="s">
        <v>40</v>
      </c>
      <c r="D70" s="1">
        <v>252.09768676757801</v>
      </c>
      <c r="E70" s="1">
        <v>21.978832244873001</v>
      </c>
      <c r="F70" s="1">
        <v>0</v>
      </c>
      <c r="G70" s="1">
        <v>0</v>
      </c>
      <c r="H70" s="5">
        <f t="shared" si="10"/>
        <v>8.7183791833585655E-2</v>
      </c>
      <c r="I70" s="4">
        <f t="shared" ref="I70:I97" si="11">(E70-F70)/E70</f>
        <v>1</v>
      </c>
      <c r="J70" s="3">
        <v>0</v>
      </c>
      <c r="K70" s="9">
        <v>1.1351858377456601</v>
      </c>
      <c r="L70" s="9">
        <v>0.17399999999999999</v>
      </c>
      <c r="M70" s="9">
        <v>1.0290337502956399</v>
      </c>
      <c r="N70" s="9">
        <v>0.72</v>
      </c>
      <c r="O70" s="9">
        <v>0.75750000000000006</v>
      </c>
      <c r="P70" s="8">
        <f t="shared" si="9"/>
        <v>0.83551125009854665</v>
      </c>
      <c r="Q70" s="11">
        <v>5</v>
      </c>
    </row>
    <row r="71" spans="1:17" x14ac:dyDescent="0.15">
      <c r="A71" s="1" t="s">
        <v>12</v>
      </c>
      <c r="B71" s="1">
        <v>99</v>
      </c>
      <c r="C71" s="1" t="s">
        <v>40</v>
      </c>
      <c r="D71" s="1">
        <v>335.41986083984398</v>
      </c>
      <c r="E71" s="1">
        <v>142.16696166992199</v>
      </c>
      <c r="F71" s="1">
        <v>126.066452026367</v>
      </c>
      <c r="G71" s="1">
        <v>126.066452026367</v>
      </c>
      <c r="H71" s="3">
        <f t="shared" si="10"/>
        <v>0.42384777488713993</v>
      </c>
      <c r="I71" s="4">
        <f t="shared" si="11"/>
        <v>0.11325071208131011</v>
      </c>
      <c r="J71" s="3">
        <v>0</v>
      </c>
      <c r="K71" s="9">
        <v>-0.15791496634483199</v>
      </c>
      <c r="L71" s="9">
        <v>1.1455</v>
      </c>
      <c r="M71" s="9">
        <v>0.75594898064931104</v>
      </c>
      <c r="N71" s="9">
        <v>0.72</v>
      </c>
      <c r="O71" s="9">
        <v>0.35899999999999999</v>
      </c>
      <c r="P71" s="8">
        <f t="shared" si="9"/>
        <v>0.61164966021643696</v>
      </c>
      <c r="Q71" s="11">
        <v>6</v>
      </c>
    </row>
    <row r="72" spans="1:17" x14ac:dyDescent="0.15">
      <c r="A72" s="1" t="s">
        <v>15</v>
      </c>
      <c r="B72" s="1">
        <v>100</v>
      </c>
      <c r="C72" s="1" t="s">
        <v>40</v>
      </c>
      <c r="D72" s="1">
        <v>288.42098999023398</v>
      </c>
      <c r="E72" s="1">
        <v>112.330276489258</v>
      </c>
      <c r="F72" s="1">
        <v>13.3950281143188</v>
      </c>
      <c r="G72" s="1">
        <v>13.3950281143188</v>
      </c>
      <c r="H72" s="3">
        <f t="shared" si="10"/>
        <v>0.38946637168488163</v>
      </c>
      <c r="I72" s="4">
        <f t="shared" si="11"/>
        <v>0.88075318130637958</v>
      </c>
      <c r="J72" s="3">
        <v>0</v>
      </c>
      <c r="K72" s="9">
        <v>1.614706158638</v>
      </c>
      <c r="L72" s="9">
        <v>0.52600000000000002</v>
      </c>
      <c r="M72" s="9">
        <v>0.99742669860521804</v>
      </c>
      <c r="N72" s="9">
        <v>1.0900000000000001</v>
      </c>
      <c r="O72" s="9">
        <v>0.65549999999999997</v>
      </c>
      <c r="P72" s="8">
        <f t="shared" si="9"/>
        <v>0.91430889953507266</v>
      </c>
      <c r="Q72" s="11">
        <v>0</v>
      </c>
    </row>
    <row r="73" spans="1:17" x14ac:dyDescent="0.15">
      <c r="A73" s="1" t="s">
        <v>15</v>
      </c>
      <c r="B73" s="1">
        <v>101</v>
      </c>
      <c r="C73" s="1" t="s">
        <v>40</v>
      </c>
      <c r="D73" s="1">
        <v>272.48010253906301</v>
      </c>
      <c r="E73" s="1">
        <v>56.150825500488303</v>
      </c>
      <c r="F73" s="1">
        <v>34.533191680908203</v>
      </c>
      <c r="G73" s="1">
        <v>34.533191680908203</v>
      </c>
      <c r="H73" s="3">
        <f t="shared" si="10"/>
        <v>0.20607312232069666</v>
      </c>
      <c r="I73" s="4">
        <f t="shared" si="11"/>
        <v>0.38499227085080179</v>
      </c>
      <c r="J73" s="3">
        <v>0</v>
      </c>
      <c r="K73" s="9">
        <v>1.4754906296729999</v>
      </c>
      <c r="L73" s="9">
        <v>0.32300000000000001</v>
      </c>
      <c r="M73" s="9">
        <v>1.15300959845384</v>
      </c>
      <c r="N73" s="9">
        <v>0.95</v>
      </c>
      <c r="O73" s="9">
        <v>0.5515000000000001</v>
      </c>
      <c r="P73" s="8">
        <f t="shared" si="9"/>
        <v>0.88483653281794672</v>
      </c>
      <c r="Q73" s="11">
        <v>0</v>
      </c>
    </row>
    <row r="74" spans="1:17" x14ac:dyDescent="0.15">
      <c r="A74" s="1" t="s">
        <v>15</v>
      </c>
      <c r="B74" s="1">
        <v>102</v>
      </c>
      <c r="C74" s="1" t="s">
        <v>40</v>
      </c>
      <c r="D74" s="1">
        <v>264.44610595703102</v>
      </c>
      <c r="E74" s="1">
        <v>39.350784301757798</v>
      </c>
      <c r="F74" s="1">
        <v>11.5753374099731</v>
      </c>
      <c r="G74" s="1">
        <v>11.5753374099731</v>
      </c>
      <c r="H74" s="5">
        <f t="shared" si="10"/>
        <v>0.14880455191180533</v>
      </c>
      <c r="I74" s="4">
        <f t="shared" si="11"/>
        <v>0.70584226933804639</v>
      </c>
      <c r="J74" s="3">
        <v>0</v>
      </c>
      <c r="K74" s="9">
        <v>1.52417576313018</v>
      </c>
      <c r="L74" s="9">
        <v>0.52900000000000003</v>
      </c>
      <c r="M74" s="9">
        <v>1.11951432625453</v>
      </c>
      <c r="N74" s="9">
        <v>1.4849999999999999</v>
      </c>
      <c r="O74" s="9">
        <v>0.85850000000000004</v>
      </c>
      <c r="P74" s="8">
        <f t="shared" si="9"/>
        <v>1.1543381087515101</v>
      </c>
      <c r="Q74" s="11">
        <v>2</v>
      </c>
    </row>
    <row r="75" spans="1:17" x14ac:dyDescent="0.15">
      <c r="A75" s="1" t="s">
        <v>18</v>
      </c>
      <c r="B75" s="1">
        <v>103</v>
      </c>
      <c r="C75" s="1" t="s">
        <v>53</v>
      </c>
      <c r="D75" s="1">
        <v>226.91604614257801</v>
      </c>
      <c r="E75" s="1">
        <v>79.352989196777301</v>
      </c>
      <c r="F75" s="1">
        <v>34.538166046142599</v>
      </c>
      <c r="G75" s="1">
        <v>34.538166046142599</v>
      </c>
      <c r="H75" s="3">
        <f t="shared" si="10"/>
        <v>0.34970197368465289</v>
      </c>
      <c r="I75" s="4">
        <f t="shared" si="11"/>
        <v>0.5647528039492522</v>
      </c>
      <c r="J75" s="3">
        <v>0</v>
      </c>
      <c r="K75" s="9">
        <v>0.64191108942031805</v>
      </c>
      <c r="L75" s="9">
        <v>0.30449999999999999</v>
      </c>
      <c r="M75" s="9">
        <v>0.44253625969091998</v>
      </c>
      <c r="N75" s="9">
        <v>0.98</v>
      </c>
      <c r="O75" s="9">
        <v>0.28549999999999998</v>
      </c>
      <c r="P75" s="8">
        <f t="shared" si="9"/>
        <v>0.56934541989697329</v>
      </c>
      <c r="Q75" s="11">
        <v>7</v>
      </c>
    </row>
    <row r="76" spans="1:17" x14ac:dyDescent="0.15">
      <c r="A76" s="1" t="s">
        <v>14</v>
      </c>
      <c r="B76" s="1">
        <v>104</v>
      </c>
      <c r="C76" s="1" t="s">
        <v>53</v>
      </c>
      <c r="D76" s="1">
        <v>182.87341308593699</v>
      </c>
      <c r="E76" s="1">
        <v>45.651405334472699</v>
      </c>
      <c r="F76" s="1">
        <v>40.429069519042997</v>
      </c>
      <c r="G76" s="1">
        <v>40.429069519042997</v>
      </c>
      <c r="H76" s="3">
        <f t="shared" si="10"/>
        <v>0.2496339110432631</v>
      </c>
      <c r="I76" s="4">
        <f t="shared" si="11"/>
        <v>0.11439594854019017</v>
      </c>
      <c r="J76" s="3">
        <v>0</v>
      </c>
      <c r="K76" s="9">
        <v>0.98053362965583801</v>
      </c>
      <c r="L76" s="9">
        <v>1.4524999999999999</v>
      </c>
      <c r="M76" s="9">
        <v>0.201731785200536</v>
      </c>
      <c r="N76" s="9">
        <v>0.14000000000000001</v>
      </c>
      <c r="O76" s="9">
        <v>0.17749999999999999</v>
      </c>
      <c r="P76" s="8">
        <f t="shared" si="9"/>
        <v>0.17307726173351201</v>
      </c>
      <c r="Q76" s="11">
        <v>8</v>
      </c>
    </row>
    <row r="77" spans="1:17" x14ac:dyDescent="0.15">
      <c r="A77" s="1" t="s">
        <v>23</v>
      </c>
      <c r="B77" s="1">
        <v>105</v>
      </c>
      <c r="C77" s="1" t="s">
        <v>53</v>
      </c>
      <c r="D77" s="1">
        <v>280.41180419921898</v>
      </c>
      <c r="E77" s="1">
        <v>106.357467651367</v>
      </c>
      <c r="F77" s="1">
        <v>92.782333374023395</v>
      </c>
      <c r="G77" s="1">
        <v>92.782333374023395</v>
      </c>
      <c r="H77" s="3">
        <f t="shared" si="10"/>
        <v>0.37929026545474948</v>
      </c>
      <c r="I77" s="4">
        <f t="shared" si="11"/>
        <v>0.12763687004886232</v>
      </c>
      <c r="J77" s="3">
        <v>0</v>
      </c>
      <c r="K77" s="9">
        <v>0.36577399075031197</v>
      </c>
      <c r="L77" s="9">
        <v>0.77949999999999997</v>
      </c>
      <c r="M77" s="9">
        <v>0.133429605513811</v>
      </c>
      <c r="N77" s="9">
        <v>0.33</v>
      </c>
      <c r="O77" s="9">
        <v>0.1245</v>
      </c>
      <c r="P77" s="8">
        <f t="shared" si="9"/>
        <v>0.19597653517127034</v>
      </c>
      <c r="Q77" s="11">
        <v>4</v>
      </c>
    </row>
    <row r="78" spans="1:17" x14ac:dyDescent="0.15">
      <c r="A78" s="1" t="s">
        <v>15</v>
      </c>
      <c r="B78" s="1">
        <v>106</v>
      </c>
      <c r="C78" s="1" t="s">
        <v>53</v>
      </c>
      <c r="D78" s="1">
        <v>294.38064575195301</v>
      </c>
      <c r="E78" s="1">
        <v>110.54248046875</v>
      </c>
      <c r="F78" s="1">
        <v>6.2340502738952601</v>
      </c>
      <c r="G78" s="1">
        <v>6.2340502738952601</v>
      </c>
      <c r="H78" s="3">
        <f t="shared" si="10"/>
        <v>0.37550865542259115</v>
      </c>
      <c r="I78" s="4">
        <f t="shared" si="11"/>
        <v>0.94360493588111938</v>
      </c>
      <c r="J78" s="3">
        <v>0</v>
      </c>
      <c r="K78" s="9">
        <v>3.1500204801559399</v>
      </c>
      <c r="L78" s="9">
        <v>-0.17399999999999999</v>
      </c>
      <c r="M78" s="9">
        <v>0.77822590867678298</v>
      </c>
      <c r="N78" s="9">
        <v>1.36</v>
      </c>
      <c r="O78" s="9">
        <v>0.95799999999999996</v>
      </c>
      <c r="P78" s="8">
        <f t="shared" si="9"/>
        <v>1.0320753028922611</v>
      </c>
      <c r="Q78" s="11">
        <v>2</v>
      </c>
    </row>
    <row r="79" spans="1:17" x14ac:dyDescent="0.15">
      <c r="A79" s="1" t="s">
        <v>9</v>
      </c>
      <c r="B79" s="1">
        <v>107</v>
      </c>
      <c r="C79" s="1" t="s">
        <v>53</v>
      </c>
      <c r="D79" s="1">
        <v>209.18746948242199</v>
      </c>
      <c r="E79" s="1">
        <v>6.76271772384644</v>
      </c>
      <c r="F79" s="1">
        <v>6.76271772384644</v>
      </c>
      <c r="G79" s="1">
        <v>6.76271772384644</v>
      </c>
      <c r="H79" s="5">
        <f t="shared" si="10"/>
        <v>3.2328502947996655E-2</v>
      </c>
      <c r="I79" s="3">
        <f t="shared" si="11"/>
        <v>0</v>
      </c>
      <c r="J79" s="3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8">
        <f t="shared" si="9"/>
        <v>0</v>
      </c>
      <c r="Q79" s="11">
        <v>3</v>
      </c>
    </row>
    <row r="80" spans="1:17" x14ac:dyDescent="0.15">
      <c r="A80" s="1" t="s">
        <v>10</v>
      </c>
      <c r="B80" s="1">
        <v>108</v>
      </c>
      <c r="C80" s="1" t="s">
        <v>53</v>
      </c>
      <c r="D80" s="1">
        <v>307.17282104492199</v>
      </c>
      <c r="E80" s="1">
        <v>119.79669189453099</v>
      </c>
      <c r="F80" s="1">
        <v>119.79669189453099</v>
      </c>
      <c r="G80" s="1">
        <v>119.79669189453099</v>
      </c>
      <c r="H80" s="3">
        <f t="shared" si="10"/>
        <v>0.3899976940896458</v>
      </c>
      <c r="I80" s="3">
        <f t="shared" si="11"/>
        <v>0</v>
      </c>
      <c r="J80" s="3">
        <v>0</v>
      </c>
      <c r="K80" s="9">
        <v>0.19978474825620601</v>
      </c>
      <c r="L80" s="9">
        <v>0.20549999999999999</v>
      </c>
      <c r="M80" s="9">
        <v>0.47773083547751</v>
      </c>
      <c r="N80" s="9">
        <v>0.74</v>
      </c>
      <c r="O80" s="9">
        <v>0.23149999999999998</v>
      </c>
      <c r="P80" s="8">
        <f t="shared" si="9"/>
        <v>0.48307694515917005</v>
      </c>
      <c r="Q80" s="11">
        <v>1</v>
      </c>
    </row>
    <row r="81" spans="1:17" x14ac:dyDescent="0.15">
      <c r="A81" s="1" t="s">
        <v>20</v>
      </c>
      <c r="B81" s="1">
        <v>109</v>
      </c>
      <c r="C81" s="1" t="s">
        <v>53</v>
      </c>
      <c r="D81" s="1">
        <v>292.74426269531301</v>
      </c>
      <c r="E81" s="1">
        <v>113.43141937255901</v>
      </c>
      <c r="F81" s="1">
        <v>88.072425842285199</v>
      </c>
      <c r="G81" s="1">
        <v>88.072425842285199</v>
      </c>
      <c r="H81" s="3">
        <f t="shared" si="10"/>
        <v>0.38747614839037153</v>
      </c>
      <c r="I81" s="4">
        <f t="shared" si="11"/>
        <v>0.22356233987501861</v>
      </c>
      <c r="J81" s="3">
        <v>0</v>
      </c>
      <c r="K81" s="9">
        <v>-0.32846733927726701</v>
      </c>
      <c r="L81" s="9">
        <v>-2.8500000000000001E-2</v>
      </c>
      <c r="M81" s="9">
        <v>-0.112531883021195</v>
      </c>
      <c r="N81" s="9">
        <v>1.04</v>
      </c>
      <c r="O81" s="9">
        <v>0.49099999999999999</v>
      </c>
      <c r="P81" s="8">
        <f t="shared" si="9"/>
        <v>0.47282270565960172</v>
      </c>
      <c r="Q81" s="11">
        <v>3</v>
      </c>
    </row>
    <row r="82" spans="1:17" x14ac:dyDescent="0.15">
      <c r="A82" s="1" t="s">
        <v>9</v>
      </c>
      <c r="B82" s="1">
        <v>110</v>
      </c>
      <c r="C82" s="1" t="s">
        <v>53</v>
      </c>
      <c r="D82" s="1">
        <v>210.77243041992199</v>
      </c>
      <c r="E82" s="1">
        <v>38.103660583496101</v>
      </c>
      <c r="F82" s="1">
        <v>0</v>
      </c>
      <c r="G82" s="1">
        <v>0</v>
      </c>
      <c r="H82" s="5">
        <f t="shared" si="10"/>
        <v>0.18078104668424691</v>
      </c>
      <c r="I82" s="4">
        <f t="shared" si="11"/>
        <v>1</v>
      </c>
      <c r="J82" s="3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8">
        <f t="shared" si="9"/>
        <v>0</v>
      </c>
      <c r="Q82" s="11">
        <v>4</v>
      </c>
    </row>
    <row r="83" spans="1:17" x14ac:dyDescent="0.15">
      <c r="A83" s="1" t="s">
        <v>19</v>
      </c>
      <c r="B83" s="1">
        <v>111</v>
      </c>
      <c r="C83" s="1" t="s">
        <v>53</v>
      </c>
      <c r="D83" s="1">
        <v>250.24749755859401</v>
      </c>
      <c r="E83" s="1">
        <v>19.427406311035199</v>
      </c>
      <c r="F83" s="1">
        <v>12.559332847595201</v>
      </c>
      <c r="G83" s="1">
        <v>12.559332847595201</v>
      </c>
      <c r="H83" s="5">
        <f t="shared" si="10"/>
        <v>7.7632769560408432E-2</v>
      </c>
      <c r="I83" s="4">
        <f t="shared" si="11"/>
        <v>0.35352498184684489</v>
      </c>
      <c r="J83" s="3">
        <v>0</v>
      </c>
      <c r="K83" s="9">
        <v>0.198661938309669</v>
      </c>
      <c r="L83" s="9">
        <v>0.42249999999999999</v>
      </c>
      <c r="M83" s="9">
        <v>0.510489995280901</v>
      </c>
      <c r="N83" s="9">
        <v>0.91</v>
      </c>
      <c r="O83" s="9">
        <v>0.50049999999999994</v>
      </c>
      <c r="P83" s="8">
        <f t="shared" si="9"/>
        <v>0.64032999842696703</v>
      </c>
      <c r="Q83" s="11">
        <v>0</v>
      </c>
    </row>
    <row r="84" spans="1:17" x14ac:dyDescent="0.15">
      <c r="A84" s="1" t="s">
        <v>13</v>
      </c>
      <c r="B84" s="1">
        <v>112</v>
      </c>
      <c r="C84" s="1" t="s">
        <v>53</v>
      </c>
      <c r="D84" s="1">
        <v>221.10209655761699</v>
      </c>
      <c r="E84" s="1">
        <v>69.96728515625</v>
      </c>
      <c r="F84" s="1">
        <v>69.96728515625</v>
      </c>
      <c r="G84" s="1">
        <v>69.96728515625</v>
      </c>
      <c r="H84" s="3">
        <f t="shared" si="10"/>
        <v>0.31644785936264169</v>
      </c>
      <c r="I84" s="3">
        <f t="shared" si="11"/>
        <v>0</v>
      </c>
      <c r="J84" s="3">
        <v>0</v>
      </c>
      <c r="K84" s="9">
        <v>-2.97797434031963E-2</v>
      </c>
      <c r="L84" s="9">
        <v>0.24249999999999999</v>
      </c>
      <c r="M84" s="9">
        <v>-5.13652935624122E-2</v>
      </c>
      <c r="N84" s="9">
        <v>0.7</v>
      </c>
      <c r="O84" s="9">
        <v>7.3999999999999996E-2</v>
      </c>
      <c r="P84" s="8">
        <f t="shared" si="9"/>
        <v>0.24087823547919593</v>
      </c>
      <c r="Q84" s="11">
        <v>0</v>
      </c>
    </row>
    <row r="85" spans="1:17" x14ac:dyDescent="0.15">
      <c r="A85" s="1" t="s">
        <v>23</v>
      </c>
      <c r="B85" s="1">
        <v>113</v>
      </c>
      <c r="C85" s="1" t="s">
        <v>53</v>
      </c>
      <c r="D85" s="1">
        <v>293.31613159179699</v>
      </c>
      <c r="E85" s="1">
        <v>103.703536987305</v>
      </c>
      <c r="F85" s="1">
        <v>59.9722900390625</v>
      </c>
      <c r="G85" s="1">
        <v>59.9722900390625</v>
      </c>
      <c r="H85" s="3">
        <f t="shared" si="10"/>
        <v>0.35355551849302114</v>
      </c>
      <c r="I85" s="4">
        <f t="shared" si="11"/>
        <v>0.42169484492699527</v>
      </c>
      <c r="J85" s="3">
        <v>0</v>
      </c>
      <c r="K85" s="9">
        <v>0.89521899819374096</v>
      </c>
      <c r="L85" s="9">
        <v>0.27950000000000003</v>
      </c>
      <c r="M85" s="9">
        <v>0.39315216739972397</v>
      </c>
      <c r="N85" s="9">
        <v>1.0249999999999999</v>
      </c>
      <c r="O85" s="9">
        <v>0.16549999999999998</v>
      </c>
      <c r="P85" s="8">
        <f t="shared" si="9"/>
        <v>0.52788405579990794</v>
      </c>
      <c r="Q85" s="11">
        <v>21</v>
      </c>
    </row>
    <row r="86" spans="1:17" x14ac:dyDescent="0.15">
      <c r="A86" s="1" t="s">
        <v>14</v>
      </c>
      <c r="B86" s="1">
        <v>114</v>
      </c>
      <c r="C86" s="1" t="s">
        <v>53</v>
      </c>
      <c r="D86" s="1">
        <v>189.37332153320301</v>
      </c>
      <c r="E86" s="1">
        <v>38.220794677734403</v>
      </c>
      <c r="F86" s="1">
        <v>0</v>
      </c>
      <c r="G86" s="1">
        <v>0</v>
      </c>
      <c r="H86" s="3">
        <f t="shared" si="10"/>
        <v>0.20182776733433971</v>
      </c>
      <c r="I86" s="4">
        <f t="shared" si="11"/>
        <v>1</v>
      </c>
      <c r="J86" s="3">
        <v>0</v>
      </c>
      <c r="K86" s="9">
        <v>0.92362862825393599</v>
      </c>
      <c r="L86" s="9">
        <v>2.0009999999999999</v>
      </c>
      <c r="M86" s="9">
        <v>9.0206556022167095E-2</v>
      </c>
      <c r="N86" s="9">
        <v>0.54</v>
      </c>
      <c r="O86" s="9">
        <v>1.04</v>
      </c>
      <c r="P86" s="8">
        <f t="shared" si="9"/>
        <v>0.5567355186740558</v>
      </c>
      <c r="Q86" s="11">
        <v>3</v>
      </c>
    </row>
    <row r="87" spans="1:17" x14ac:dyDescent="0.15">
      <c r="A87" s="1" t="s">
        <v>11</v>
      </c>
      <c r="B87" s="1">
        <v>115</v>
      </c>
      <c r="C87" s="1" t="s">
        <v>53</v>
      </c>
      <c r="D87" s="1">
        <v>244.19886779785199</v>
      </c>
      <c r="E87" s="1">
        <v>66.849639892578097</v>
      </c>
      <c r="F87" s="1">
        <v>59.635360717773402</v>
      </c>
      <c r="G87" s="1">
        <v>59.635360717773402</v>
      </c>
      <c r="H87" s="3">
        <f t="shared" si="10"/>
        <v>0.27375081832040382</v>
      </c>
      <c r="I87" s="4">
        <f t="shared" si="11"/>
        <v>0.10791799606396461</v>
      </c>
      <c r="J87" s="3">
        <f t="shared" ref="J87:J97" si="12">(F87-G87)/F87</f>
        <v>0</v>
      </c>
      <c r="K87" s="9">
        <v>5.9577563777565901E-2</v>
      </c>
      <c r="L87" s="9">
        <v>0.1595</v>
      </c>
      <c r="M87" s="9">
        <v>0.45462416112422899</v>
      </c>
      <c r="N87" s="9">
        <v>0.54</v>
      </c>
      <c r="O87" s="9">
        <v>0.64349999999999996</v>
      </c>
      <c r="P87" s="8">
        <f t="shared" si="9"/>
        <v>0.5460413870414097</v>
      </c>
      <c r="Q87" s="11">
        <v>3</v>
      </c>
    </row>
    <row r="88" spans="1:17" x14ac:dyDescent="0.15">
      <c r="A88" s="1" t="s">
        <v>10</v>
      </c>
      <c r="B88" s="1">
        <v>116</v>
      </c>
      <c r="C88" s="1" t="s">
        <v>53</v>
      </c>
      <c r="D88" s="1">
        <v>310.24081420898398</v>
      </c>
      <c r="E88" s="1">
        <v>125.19264984130901</v>
      </c>
      <c r="F88" s="1">
        <v>125.19264984130901</v>
      </c>
      <c r="G88" s="1">
        <v>125.19264984130901</v>
      </c>
      <c r="H88" s="3">
        <f t="shared" si="10"/>
        <v>0.40353378442649684</v>
      </c>
      <c r="I88" s="3">
        <f t="shared" si="11"/>
        <v>0</v>
      </c>
      <c r="J88" s="3">
        <f t="shared" si="12"/>
        <v>0</v>
      </c>
      <c r="K88" s="9">
        <v>0.16369358450174301</v>
      </c>
      <c r="L88" s="9">
        <v>0.51400000000000001</v>
      </c>
      <c r="M88" s="9">
        <v>0.230563136748969</v>
      </c>
      <c r="N88" s="9">
        <v>0.55000000000000004</v>
      </c>
      <c r="O88" s="9">
        <v>0.33850000000000002</v>
      </c>
      <c r="P88" s="8">
        <f t="shared" si="9"/>
        <v>0.37302104558298971</v>
      </c>
      <c r="Q88" s="11">
        <v>0</v>
      </c>
    </row>
    <row r="89" spans="1:17" x14ac:dyDescent="0.15">
      <c r="A89" s="1" t="s">
        <v>9</v>
      </c>
      <c r="B89" s="1">
        <v>117</v>
      </c>
      <c r="C89" s="1" t="s">
        <v>53</v>
      </c>
      <c r="D89" s="1">
        <v>215.81280517578099</v>
      </c>
      <c r="E89" s="1">
        <v>54.063774108886697</v>
      </c>
      <c r="F89" s="1">
        <v>3.38135886192322</v>
      </c>
      <c r="G89" s="1">
        <v>3.38135886192322</v>
      </c>
      <c r="H89" s="3">
        <f t="shared" si="10"/>
        <v>0.25051235520918874</v>
      </c>
      <c r="I89" s="4">
        <f t="shared" si="11"/>
        <v>0.93745610776056776</v>
      </c>
      <c r="J89" s="3">
        <f t="shared" si="12"/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8">
        <f t="shared" si="9"/>
        <v>0</v>
      </c>
      <c r="Q89" s="11">
        <v>1</v>
      </c>
    </row>
    <row r="90" spans="1:17" x14ac:dyDescent="0.15">
      <c r="A90" s="1" t="s">
        <v>19</v>
      </c>
      <c r="B90" s="1">
        <v>118</v>
      </c>
      <c r="C90" s="1" t="s">
        <v>53</v>
      </c>
      <c r="D90" s="1">
        <v>254.71513366699199</v>
      </c>
      <c r="E90" s="1">
        <v>58.932254791259801</v>
      </c>
      <c r="F90" s="1">
        <v>21.254255294799801</v>
      </c>
      <c r="G90" s="1">
        <v>21.254255294799801</v>
      </c>
      <c r="H90" s="3">
        <f t="shared" si="10"/>
        <v>0.23136534505368775</v>
      </c>
      <c r="I90" s="4">
        <f t="shared" si="11"/>
        <v>0.63934427131486571</v>
      </c>
      <c r="J90" s="3">
        <f t="shared" si="12"/>
        <v>0</v>
      </c>
      <c r="K90" s="9">
        <v>0.83612316846847501</v>
      </c>
      <c r="L90" s="9">
        <v>0.61850000000000005</v>
      </c>
      <c r="M90" s="9">
        <v>0.44113385677337602</v>
      </c>
      <c r="N90" s="9">
        <v>0.97499999999999998</v>
      </c>
      <c r="O90" s="9">
        <v>0.48849999999999999</v>
      </c>
      <c r="P90" s="8">
        <f t="shared" si="9"/>
        <v>0.63487795225779198</v>
      </c>
      <c r="Q90" s="11">
        <v>3</v>
      </c>
    </row>
    <row r="91" spans="1:17" x14ac:dyDescent="0.15">
      <c r="A91" s="1" t="s">
        <v>11</v>
      </c>
      <c r="B91" s="1">
        <v>119</v>
      </c>
      <c r="C91" s="1" t="s">
        <v>53</v>
      </c>
      <c r="D91" s="1">
        <v>248.22482299804699</v>
      </c>
      <c r="E91" s="1">
        <v>72.983078002929702</v>
      </c>
      <c r="F91" s="1">
        <v>72.983078002929702</v>
      </c>
      <c r="G91" s="1">
        <v>72.983078002929702</v>
      </c>
      <c r="H91" s="3">
        <f t="shared" si="10"/>
        <v>0.29402006262485653</v>
      </c>
      <c r="I91" s="3">
        <f t="shared" si="11"/>
        <v>0</v>
      </c>
      <c r="J91" s="3">
        <f t="shared" si="12"/>
        <v>0</v>
      </c>
      <c r="K91" s="9">
        <v>-0.28899552673101397</v>
      </c>
      <c r="L91" s="9">
        <v>-0.1615</v>
      </c>
      <c r="M91" s="9">
        <v>5.2973404526710503E-2</v>
      </c>
      <c r="N91" s="9">
        <v>0.63</v>
      </c>
      <c r="O91" s="9">
        <v>0.17249999999999999</v>
      </c>
      <c r="P91" s="8">
        <f t="shared" si="9"/>
        <v>0.28515780150890352</v>
      </c>
      <c r="Q91" s="11">
        <v>3</v>
      </c>
    </row>
    <row r="92" spans="1:17" x14ac:dyDescent="0.15">
      <c r="A92" s="1" t="s">
        <v>10</v>
      </c>
      <c r="B92" s="1">
        <v>120</v>
      </c>
      <c r="C92" s="1" t="s">
        <v>53</v>
      </c>
      <c r="D92" s="1">
        <v>310.89752197265602</v>
      </c>
      <c r="E92" s="1">
        <v>104.31796264648401</v>
      </c>
      <c r="F92" s="1">
        <v>67.038253784179702</v>
      </c>
      <c r="G92" s="1">
        <v>67.038253784179702</v>
      </c>
      <c r="H92" s="3">
        <f t="shared" si="10"/>
        <v>0.33553809623371317</v>
      </c>
      <c r="I92" s="4">
        <f t="shared" si="11"/>
        <v>0.35736615168222707</v>
      </c>
      <c r="J92" s="3">
        <f t="shared" si="12"/>
        <v>0</v>
      </c>
      <c r="K92" s="9">
        <v>6.2943808734415097E-4</v>
      </c>
      <c r="L92" s="9">
        <v>0.26900000000000002</v>
      </c>
      <c r="M92" s="9">
        <v>-6.7608069628476694E-2</v>
      </c>
      <c r="N92" s="9">
        <v>0.83000000000000007</v>
      </c>
      <c r="O92" s="9">
        <v>0.34250000000000003</v>
      </c>
      <c r="P92" s="8">
        <f t="shared" si="9"/>
        <v>0.36829731012384115</v>
      </c>
      <c r="Q92" s="11">
        <v>2</v>
      </c>
    </row>
    <row r="93" spans="1:17" x14ac:dyDescent="0.15">
      <c r="A93" s="1" t="s">
        <v>22</v>
      </c>
      <c r="B93" s="1">
        <v>121</v>
      </c>
      <c r="C93" s="1" t="s">
        <v>53</v>
      </c>
      <c r="D93" s="1">
        <v>306.57260131835898</v>
      </c>
      <c r="E93" s="1">
        <v>162.22679138183599</v>
      </c>
      <c r="F93" s="1">
        <v>45.2477836608887</v>
      </c>
      <c r="G93" s="1">
        <v>45.2477836608887</v>
      </c>
      <c r="H93" s="3">
        <f t="shared" si="10"/>
        <v>0.5291627193174131</v>
      </c>
      <c r="I93" s="4">
        <f t="shared" si="11"/>
        <v>0.72108316218627411</v>
      </c>
      <c r="J93" s="3">
        <f t="shared" si="12"/>
        <v>0</v>
      </c>
      <c r="K93" s="9">
        <v>1.2164777517318699</v>
      </c>
      <c r="L93" s="9">
        <v>0.55700000000000005</v>
      </c>
      <c r="M93" s="9">
        <v>0.42616480588912897</v>
      </c>
      <c r="N93" s="9">
        <v>1.87</v>
      </c>
      <c r="O93" s="9">
        <v>0.55100000000000005</v>
      </c>
      <c r="P93" s="8">
        <f t="shared" si="9"/>
        <v>0.9490549352963763</v>
      </c>
      <c r="Q93" s="11">
        <v>0</v>
      </c>
    </row>
    <row r="94" spans="1:17" x14ac:dyDescent="0.15">
      <c r="A94" s="1" t="s">
        <v>11</v>
      </c>
      <c r="B94" s="1">
        <v>122</v>
      </c>
      <c r="C94" s="1" t="s">
        <v>53</v>
      </c>
      <c r="D94" s="1">
        <v>237.15721130371099</v>
      </c>
      <c r="E94" s="1">
        <v>90.350051879882798</v>
      </c>
      <c r="F94" s="1">
        <v>90.108528137207003</v>
      </c>
      <c r="G94" s="1">
        <v>90.108528137207003</v>
      </c>
      <c r="H94" s="3">
        <f t="shared" si="10"/>
        <v>0.38097113464611321</v>
      </c>
      <c r="I94" s="4">
        <f t="shared" si="11"/>
        <v>2.6731998228057769E-3</v>
      </c>
      <c r="J94" s="3">
        <f t="shared" si="12"/>
        <v>0</v>
      </c>
      <c r="K94" s="9">
        <v>7.1354819461702898E-2</v>
      </c>
      <c r="L94" s="9">
        <v>0.22800000000000001</v>
      </c>
      <c r="M94" s="9">
        <v>5.1525160670280401E-2</v>
      </c>
      <c r="N94" s="9">
        <v>0.42000000000000004</v>
      </c>
      <c r="O94" s="9">
        <v>0.184</v>
      </c>
      <c r="P94" s="8">
        <f t="shared" si="9"/>
        <v>0.21850838689009347</v>
      </c>
      <c r="Q94" s="11">
        <v>4</v>
      </c>
    </row>
    <row r="95" spans="1:17" x14ac:dyDescent="0.15">
      <c r="A95" s="1" t="s">
        <v>13</v>
      </c>
      <c r="B95" s="1">
        <v>123</v>
      </c>
      <c r="C95" s="1" t="s">
        <v>53</v>
      </c>
      <c r="D95" s="1">
        <v>219.313232421875</v>
      </c>
      <c r="E95" s="1">
        <v>62.037086486816399</v>
      </c>
      <c r="F95" s="1">
        <v>62.037086486816399</v>
      </c>
      <c r="G95" s="1">
        <v>62.037086486816399</v>
      </c>
      <c r="H95" s="3">
        <f t="shared" si="10"/>
        <v>0.2828697831031039</v>
      </c>
      <c r="I95" s="3">
        <f t="shared" si="11"/>
        <v>0</v>
      </c>
      <c r="J95" s="3">
        <f t="shared" si="12"/>
        <v>0</v>
      </c>
      <c r="K95" s="9">
        <v>0.180460900068282</v>
      </c>
      <c r="L95" s="9">
        <v>0.33050000000000002</v>
      </c>
      <c r="M95" s="9">
        <v>-3.6209989339113201E-2</v>
      </c>
      <c r="N95" s="9">
        <v>0.37</v>
      </c>
      <c r="O95" s="9">
        <v>7.2500000000000009E-2</v>
      </c>
      <c r="P95" s="8">
        <f t="shared" si="9"/>
        <v>0.13543000355362894</v>
      </c>
      <c r="Q95" s="11">
        <v>7</v>
      </c>
    </row>
    <row r="96" spans="1:17" x14ac:dyDescent="0.15">
      <c r="A96" s="1" t="s">
        <v>9</v>
      </c>
      <c r="B96" s="1">
        <v>124</v>
      </c>
      <c r="D96" s="1">
        <v>206.54531860351599</v>
      </c>
      <c r="E96" s="1">
        <v>84.456634521484403</v>
      </c>
      <c r="F96" s="1">
        <v>65.833328247070298</v>
      </c>
      <c r="G96" s="1">
        <v>65.833328247070298</v>
      </c>
      <c r="H96" s="3">
        <f t="shared" si="10"/>
        <v>0.40890122851734634</v>
      </c>
      <c r="I96" s="4">
        <f t="shared" si="11"/>
        <v>0.2205073216560226</v>
      </c>
      <c r="J96" s="3">
        <f t="shared" si="12"/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8">
        <f t="shared" si="9"/>
        <v>0</v>
      </c>
      <c r="Q96" s="11">
        <v>2</v>
      </c>
    </row>
    <row r="97" spans="1:17" x14ac:dyDescent="0.15">
      <c r="A97" s="1" t="s">
        <v>10</v>
      </c>
      <c r="B97" s="1">
        <v>125</v>
      </c>
      <c r="D97" s="1">
        <v>324.72906494140602</v>
      </c>
      <c r="E97" s="1">
        <v>160.79145812988301</v>
      </c>
      <c r="F97" s="1">
        <v>140.86233520507801</v>
      </c>
      <c r="G97" s="1">
        <v>140.86233520507801</v>
      </c>
      <c r="H97" s="3">
        <f t="shared" si="10"/>
        <v>0.49515573285346709</v>
      </c>
      <c r="I97" s="4">
        <f t="shared" si="11"/>
        <v>0.12394391565692993</v>
      </c>
      <c r="J97" s="3">
        <f t="shared" si="12"/>
        <v>0</v>
      </c>
      <c r="K97" s="9">
        <v>-5.8996021747589097E-2</v>
      </c>
      <c r="L97" s="9">
        <v>0.94799999999999995</v>
      </c>
      <c r="M97" s="9">
        <v>4.4710944096247297E-2</v>
      </c>
      <c r="N97" s="9">
        <v>0.74</v>
      </c>
      <c r="O97" s="9">
        <v>0.14599999999999999</v>
      </c>
      <c r="P97" s="8">
        <f t="shared" si="9"/>
        <v>0.31023698136541578</v>
      </c>
      <c r="Q97" s="11">
        <v>1</v>
      </c>
    </row>
  </sheetData>
  <autoFilter ref="A1:Q97" xr:uid="{00000000-0001-0000-0100-000000000000}"/>
  <phoneticPr fontId="4" type="noConversion"/>
  <pageMargins left="0.7" right="0.7" top="0.75" bottom="0.75" header="0.3" footer="0.3"/>
  <ignoredErrors>
    <ignoredError sqref="P2:P3 P4:P9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9"/>
  <sheetViews>
    <sheetView tabSelected="1" workbookViewId="0">
      <selection activeCell="N13" sqref="N13"/>
    </sheetView>
  </sheetViews>
  <sheetFormatPr defaultColWidth="9" defaultRowHeight="14.25" x14ac:dyDescent="0.2"/>
  <cols>
    <col min="1" max="2" width="8.25" style="1" customWidth="1"/>
    <col min="3" max="3" width="24" style="1" bestFit="1" customWidth="1"/>
    <col min="4" max="6" width="12.75" style="1" customWidth="1"/>
    <col min="7" max="10" width="16.5" style="1" customWidth="1"/>
    <col min="11" max="11" width="16.5" style="8" bestFit="1" customWidth="1"/>
    <col min="12" max="12" width="15.25" style="10" bestFit="1" customWidth="1"/>
    <col min="13" max="13" width="21.5" style="10" bestFit="1" customWidth="1"/>
    <col min="14" max="15" width="19" style="10" bestFit="1" customWidth="1"/>
    <col min="16" max="16" width="16.5" style="10" bestFit="1" customWidth="1"/>
    <col min="17" max="17" width="14" style="10" bestFit="1" customWidth="1"/>
  </cols>
  <sheetData>
    <row r="1" spans="1:17" x14ac:dyDescent="0.2">
      <c r="A1" s="2" t="s">
        <v>0</v>
      </c>
      <c r="B1" s="2" t="s">
        <v>1</v>
      </c>
      <c r="C1" s="2" t="s">
        <v>62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7" t="s">
        <v>63</v>
      </c>
      <c r="L1" s="7" t="s">
        <v>64</v>
      </c>
      <c r="M1" s="7" t="s">
        <v>66</v>
      </c>
      <c r="N1" s="7" t="s">
        <v>67</v>
      </c>
      <c r="O1" s="7" t="s">
        <v>68</v>
      </c>
      <c r="P1" s="7" t="s">
        <v>65</v>
      </c>
      <c r="Q1" s="7" t="s">
        <v>30</v>
      </c>
    </row>
    <row r="2" spans="1:17" x14ac:dyDescent="0.15">
      <c r="A2" s="1" t="s">
        <v>18</v>
      </c>
      <c r="B2" s="1">
        <v>38</v>
      </c>
      <c r="D2" s="1">
        <v>240.49150085449199</v>
      </c>
      <c r="E2" s="1">
        <v>121.95831298828099</v>
      </c>
      <c r="F2" s="1">
        <v>121.95831298828099</v>
      </c>
      <c r="G2" s="1">
        <v>115.437118530273</v>
      </c>
      <c r="H2" s="3">
        <f t="shared" ref="H2:H32" si="0">E2/D2</f>
        <v>0.50712109390539828</v>
      </c>
      <c r="I2" s="3">
        <f t="shared" ref="I2:I32" si="1">(E2-F2)/E2</f>
        <v>0</v>
      </c>
      <c r="J2" s="6">
        <f t="shared" ref="J2:J14" si="2">(F2-G2)/F2</f>
        <v>5.3470684352895405E-2</v>
      </c>
      <c r="K2" s="8">
        <v>0.142035722732544</v>
      </c>
      <c r="L2" s="8">
        <v>1.0289999999999999</v>
      </c>
      <c r="M2" s="8">
        <v>8.3497604355215697E-3</v>
      </c>
      <c r="N2" s="8">
        <v>0.40500000000000003</v>
      </c>
      <c r="O2" s="8">
        <v>0.35050000000000003</v>
      </c>
      <c r="P2" s="8">
        <f t="shared" ref="P2:P32" si="3">AVERAGE(M2:O2)</f>
        <v>0.25461658681184057</v>
      </c>
      <c r="Q2" s="11">
        <v>1</v>
      </c>
    </row>
    <row r="3" spans="1:17" x14ac:dyDescent="0.15">
      <c r="A3" s="1" t="s">
        <v>20</v>
      </c>
      <c r="B3" s="1">
        <v>39</v>
      </c>
      <c r="D3" s="1">
        <v>291.66296386718801</v>
      </c>
      <c r="E3" s="1">
        <v>114.762046813965</v>
      </c>
      <c r="F3" s="1">
        <v>114.762046813965</v>
      </c>
      <c r="G3" s="1">
        <v>14.736788749694799</v>
      </c>
      <c r="H3" s="3">
        <f t="shared" si="0"/>
        <v>0.39347487007717297</v>
      </c>
      <c r="I3" s="3">
        <f t="shared" si="1"/>
        <v>0</v>
      </c>
      <c r="J3" s="6">
        <f t="shared" si="2"/>
        <v>0.87158830677197785</v>
      </c>
      <c r="K3" s="8">
        <v>-0.38095600903034199</v>
      </c>
      <c r="L3" s="8">
        <v>0.76800000000000002</v>
      </c>
      <c r="M3" s="8">
        <v>-3.7810682939986399E-2</v>
      </c>
      <c r="N3" s="8">
        <v>0.26500000000000001</v>
      </c>
      <c r="O3" s="8">
        <v>9.9000000000000005E-2</v>
      </c>
      <c r="P3" s="8">
        <f t="shared" si="3"/>
        <v>0.10872977235333788</v>
      </c>
      <c r="Q3" s="11">
        <v>7</v>
      </c>
    </row>
    <row r="4" spans="1:17" x14ac:dyDescent="0.15">
      <c r="A4" s="1" t="s">
        <v>12</v>
      </c>
      <c r="B4" s="1">
        <v>40</v>
      </c>
      <c r="D4" s="1">
        <v>330.98580932617199</v>
      </c>
      <c r="E4" s="1">
        <v>199.68324279785199</v>
      </c>
      <c r="F4" s="1">
        <v>199.68324279785199</v>
      </c>
      <c r="G4" s="1">
        <v>93.085388183593693</v>
      </c>
      <c r="H4" s="3">
        <f t="shared" si="0"/>
        <v>0.60329850154111264</v>
      </c>
      <c r="I4" s="3">
        <f t="shared" si="1"/>
        <v>0</v>
      </c>
      <c r="J4" s="6">
        <f t="shared" si="2"/>
        <v>0.53383475308527484</v>
      </c>
      <c r="K4" s="8">
        <v>-0.103046204894781</v>
      </c>
      <c r="L4" s="8">
        <v>0.99250000000000005</v>
      </c>
      <c r="M4" s="8">
        <v>7.6582695667942305E-2</v>
      </c>
      <c r="N4" s="8">
        <v>0.59499999999999997</v>
      </c>
      <c r="O4" s="8">
        <v>0.104</v>
      </c>
      <c r="P4" s="8">
        <f t="shared" si="3"/>
        <v>0.25852756522264742</v>
      </c>
      <c r="Q4" s="11">
        <v>8</v>
      </c>
    </row>
    <row r="5" spans="1:17" x14ac:dyDescent="0.15">
      <c r="A5" s="1" t="s">
        <v>22</v>
      </c>
      <c r="B5" s="1">
        <v>41</v>
      </c>
      <c r="D5" s="1">
        <v>331.45803833007801</v>
      </c>
      <c r="E5" s="1">
        <v>130.19476318359401</v>
      </c>
      <c r="F5" s="1">
        <v>130.19476318359401</v>
      </c>
      <c r="G5" s="1">
        <v>14.293744087219199</v>
      </c>
      <c r="H5" s="3">
        <f t="shared" si="0"/>
        <v>0.39279410401247022</v>
      </c>
      <c r="I5" s="3">
        <f t="shared" si="1"/>
        <v>0</v>
      </c>
      <c r="J5" s="6">
        <f t="shared" si="2"/>
        <v>0.89021260350492837</v>
      </c>
      <c r="K5" s="8">
        <v>0.34530743956565801</v>
      </c>
      <c r="L5" s="8">
        <v>1.5245</v>
      </c>
      <c r="M5" s="8">
        <v>-6.8483059294521795E-2</v>
      </c>
      <c r="N5" s="8">
        <v>0.83499999999999996</v>
      </c>
      <c r="O5" s="8">
        <v>0.34550000000000003</v>
      </c>
      <c r="P5" s="8">
        <f t="shared" si="3"/>
        <v>0.37067231356849267</v>
      </c>
      <c r="Q5" s="11">
        <v>2</v>
      </c>
    </row>
    <row r="6" spans="1:17" x14ac:dyDescent="0.15">
      <c r="A6" s="1" t="s">
        <v>12</v>
      </c>
      <c r="B6" s="1">
        <v>42</v>
      </c>
      <c r="D6" s="1">
        <v>335.135498046875</v>
      </c>
      <c r="E6" s="1">
        <v>180.92276000976599</v>
      </c>
      <c r="F6" s="1">
        <v>180.92276000976599</v>
      </c>
      <c r="G6" s="1">
        <v>98.256317138671903</v>
      </c>
      <c r="H6" s="3">
        <f t="shared" si="0"/>
        <v>0.53984958640358816</v>
      </c>
      <c r="I6" s="3">
        <f t="shared" si="1"/>
        <v>0</v>
      </c>
      <c r="J6" s="6">
        <f t="shared" si="2"/>
        <v>0.4569156631627323</v>
      </c>
      <c r="K6" s="8">
        <v>2.9362890869378998E-2</v>
      </c>
      <c r="L6" s="8">
        <v>0.42499999999999999</v>
      </c>
      <c r="M6" s="8">
        <v>-2.92298272252083E-2</v>
      </c>
      <c r="N6" s="8">
        <v>0.48</v>
      </c>
      <c r="O6" s="8">
        <v>0.17349999999999999</v>
      </c>
      <c r="P6" s="8">
        <f t="shared" si="3"/>
        <v>0.20809005759159724</v>
      </c>
      <c r="Q6" s="11">
        <v>7</v>
      </c>
    </row>
    <row r="7" spans="1:17" x14ac:dyDescent="0.15">
      <c r="A7" s="1" t="s">
        <v>18</v>
      </c>
      <c r="B7" s="1">
        <v>43</v>
      </c>
      <c r="D7" s="1">
        <v>235.38969421386699</v>
      </c>
      <c r="E7" s="1">
        <v>142.28388977050801</v>
      </c>
      <c r="F7" s="1">
        <v>141.64102172851599</v>
      </c>
      <c r="G7" s="1">
        <v>38.050716400146499</v>
      </c>
      <c r="H7" s="3">
        <f t="shared" si="0"/>
        <v>0.60446099921959096</v>
      </c>
      <c r="I7" s="4">
        <f t="shared" si="1"/>
        <v>4.518206826007563E-3</v>
      </c>
      <c r="J7" s="6">
        <f t="shared" si="2"/>
        <v>0.73135807737197434</v>
      </c>
      <c r="K7" s="8">
        <v>0.118121918290853</v>
      </c>
      <c r="L7" s="8">
        <v>0.70799999999999996</v>
      </c>
      <c r="M7" s="8">
        <v>4.48062618573506E-2</v>
      </c>
      <c r="N7" s="8">
        <v>0.35499999999999998</v>
      </c>
      <c r="O7" s="8">
        <v>8.4499999999999992E-2</v>
      </c>
      <c r="P7" s="8">
        <f t="shared" si="3"/>
        <v>0.16143542061911687</v>
      </c>
      <c r="Q7" s="11">
        <v>3</v>
      </c>
    </row>
    <row r="8" spans="1:17" x14ac:dyDescent="0.15">
      <c r="A8" s="1" t="s">
        <v>14</v>
      </c>
      <c r="B8" s="1">
        <v>44</v>
      </c>
      <c r="C8" s="1" t="s">
        <v>54</v>
      </c>
      <c r="D8" s="1">
        <v>188.80279541015599</v>
      </c>
      <c r="E8" s="1">
        <v>40.448638916015597</v>
      </c>
      <c r="F8" s="1">
        <v>24.565996170043899</v>
      </c>
      <c r="G8" s="1">
        <v>9.9025506973266602</v>
      </c>
      <c r="H8" s="3">
        <f t="shared" si="0"/>
        <v>0.21423750018184212</v>
      </c>
      <c r="I8" s="4">
        <f t="shared" si="1"/>
        <v>0.39266198249461942</v>
      </c>
      <c r="J8" s="6">
        <f t="shared" si="2"/>
        <v>0.59690009601963701</v>
      </c>
      <c r="K8" s="8">
        <v>0.244444750249386</v>
      </c>
      <c r="L8" s="8">
        <v>0.63549999999999995</v>
      </c>
      <c r="M8" s="8">
        <v>-0.103012844920158</v>
      </c>
      <c r="N8" s="8">
        <v>0.46</v>
      </c>
      <c r="O8" s="8">
        <v>0.53950000000000009</v>
      </c>
      <c r="P8" s="8">
        <f t="shared" si="3"/>
        <v>0.29882905169328072</v>
      </c>
      <c r="Q8" s="11">
        <v>5</v>
      </c>
    </row>
    <row r="9" spans="1:17" x14ac:dyDescent="0.15">
      <c r="A9" s="1" t="s">
        <v>11</v>
      </c>
      <c r="B9" s="1">
        <v>45</v>
      </c>
      <c r="C9" s="1" t="s">
        <v>54</v>
      </c>
      <c r="D9" s="1">
        <v>244.12756347656199</v>
      </c>
      <c r="E9" s="1">
        <v>56.8418579101563</v>
      </c>
      <c r="F9" s="1">
        <v>56.8418579101563</v>
      </c>
      <c r="G9" s="1">
        <v>30.618740081787099</v>
      </c>
      <c r="H9" s="3">
        <f t="shared" si="0"/>
        <v>0.23283670676381255</v>
      </c>
      <c r="I9" s="3">
        <f t="shared" si="1"/>
        <v>0</v>
      </c>
      <c r="J9" s="6">
        <f t="shared" si="2"/>
        <v>0.46133463599689534</v>
      </c>
      <c r="K9" s="8">
        <v>2.4344026576727601E-2</v>
      </c>
      <c r="L9" s="8">
        <v>0.44950000000000001</v>
      </c>
      <c r="M9" s="8">
        <v>-2.52311043441295E-2</v>
      </c>
      <c r="N9" s="8">
        <v>0.42</v>
      </c>
      <c r="O9" s="8">
        <v>0.35450000000000004</v>
      </c>
      <c r="P9" s="8">
        <f t="shared" si="3"/>
        <v>0.24975629855195683</v>
      </c>
      <c r="Q9" s="11">
        <v>3</v>
      </c>
    </row>
    <row r="10" spans="1:17" x14ac:dyDescent="0.15">
      <c r="A10" s="1" t="s">
        <v>19</v>
      </c>
      <c r="B10" s="1">
        <v>46</v>
      </c>
      <c r="C10" s="1" t="s">
        <v>54</v>
      </c>
      <c r="D10" s="1">
        <v>255.38473510742199</v>
      </c>
      <c r="E10" s="1">
        <v>53.1356391906738</v>
      </c>
      <c r="F10" s="1">
        <v>53.1356391906738</v>
      </c>
      <c r="G10" s="1">
        <v>17.872896194458001</v>
      </c>
      <c r="H10" s="3">
        <f t="shared" si="0"/>
        <v>0.20806114025696743</v>
      </c>
      <c r="I10" s="3">
        <f t="shared" si="1"/>
        <v>0</v>
      </c>
      <c r="J10" s="6">
        <f t="shared" si="2"/>
        <v>0.66363637538409448</v>
      </c>
      <c r="K10" s="8">
        <v>-0.273897595703601</v>
      </c>
      <c r="L10" s="8">
        <v>-9.6500000000000002E-2</v>
      </c>
      <c r="M10" s="8">
        <v>6.6814546783764998E-3</v>
      </c>
      <c r="N10" s="8">
        <v>0.56000000000000005</v>
      </c>
      <c r="O10" s="8">
        <v>0.29300000000000004</v>
      </c>
      <c r="P10" s="8">
        <f t="shared" si="3"/>
        <v>0.28656048489279223</v>
      </c>
      <c r="Q10" s="11">
        <v>7</v>
      </c>
    </row>
    <row r="11" spans="1:17" x14ac:dyDescent="0.15">
      <c r="A11" s="1" t="s">
        <v>9</v>
      </c>
      <c r="B11" s="1">
        <v>47</v>
      </c>
      <c r="C11" s="1" t="s">
        <v>54</v>
      </c>
      <c r="D11" s="1">
        <v>208.550369262695</v>
      </c>
      <c r="E11" s="1">
        <v>55.689777374267599</v>
      </c>
      <c r="F11" s="1">
        <v>9.9159965515136701</v>
      </c>
      <c r="G11" s="1">
        <v>0.48305127024650601</v>
      </c>
      <c r="H11" s="3">
        <f t="shared" si="0"/>
        <v>0.26703274403757793</v>
      </c>
      <c r="I11" s="4">
        <f t="shared" si="1"/>
        <v>0.82194224830757678</v>
      </c>
      <c r="J11" s="6">
        <f t="shared" si="2"/>
        <v>0.95128565568402013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f t="shared" si="3"/>
        <v>0</v>
      </c>
      <c r="Q11" s="11">
        <v>7</v>
      </c>
    </row>
    <row r="12" spans="1:17" x14ac:dyDescent="0.15">
      <c r="A12" s="1" t="s">
        <v>15</v>
      </c>
      <c r="B12" s="1">
        <v>48</v>
      </c>
      <c r="C12" s="1" t="s">
        <v>54</v>
      </c>
      <c r="D12" s="1">
        <v>284.96145629882801</v>
      </c>
      <c r="E12" s="1">
        <v>90.444793701171903</v>
      </c>
      <c r="F12" s="1">
        <v>4.5889868736267099</v>
      </c>
      <c r="G12" s="1">
        <v>4.5889868736267099</v>
      </c>
      <c r="H12" s="3">
        <f t="shared" si="0"/>
        <v>0.31739307791270538</v>
      </c>
      <c r="I12" s="4">
        <f t="shared" si="1"/>
        <v>0.94926201182139192</v>
      </c>
      <c r="J12" s="3">
        <f t="shared" si="2"/>
        <v>0</v>
      </c>
      <c r="K12" s="8">
        <v>-2.4373250082135201E-2</v>
      </c>
      <c r="L12" s="8">
        <v>0.36499999999999999</v>
      </c>
      <c r="M12" s="8">
        <v>0.329410269856452</v>
      </c>
      <c r="N12" s="8">
        <v>1.87</v>
      </c>
      <c r="O12" s="8">
        <v>1.3225</v>
      </c>
      <c r="P12" s="8">
        <f t="shared" si="3"/>
        <v>1.1739700899521506</v>
      </c>
      <c r="Q12" s="11">
        <v>2</v>
      </c>
    </row>
    <row r="13" spans="1:17" x14ac:dyDescent="0.15">
      <c r="A13" s="1" t="s">
        <v>12</v>
      </c>
      <c r="B13" s="1">
        <v>49</v>
      </c>
      <c r="C13" s="1" t="s">
        <v>58</v>
      </c>
      <c r="D13" s="1">
        <v>338.45248413085898</v>
      </c>
      <c r="E13" s="1">
        <v>109.92852783203099</v>
      </c>
      <c r="F13" s="1">
        <v>109.92852783203099</v>
      </c>
      <c r="G13" s="1">
        <v>57.076454162597699</v>
      </c>
      <c r="H13" s="3">
        <f t="shared" si="0"/>
        <v>0.32479752102965309</v>
      </c>
      <c r="I13" s="3">
        <f t="shared" si="1"/>
        <v>0</v>
      </c>
      <c r="J13" s="6">
        <f t="shared" si="2"/>
        <v>0.48078578610813749</v>
      </c>
      <c r="K13" s="8">
        <v>0.142505072057247</v>
      </c>
      <c r="L13" s="8">
        <v>2.2734999999999999</v>
      </c>
      <c r="M13" s="8">
        <v>0.15402110417683901</v>
      </c>
      <c r="N13" s="8">
        <v>0.6</v>
      </c>
      <c r="O13" s="8">
        <v>0.34799999999999998</v>
      </c>
      <c r="P13" s="8">
        <f t="shared" si="3"/>
        <v>0.36734036805894626</v>
      </c>
      <c r="Q13" s="11">
        <v>7</v>
      </c>
    </row>
    <row r="14" spans="1:17" x14ac:dyDescent="0.15">
      <c r="A14" s="1" t="s">
        <v>23</v>
      </c>
      <c r="B14" s="1">
        <v>50</v>
      </c>
      <c r="C14" s="1" t="s">
        <v>54</v>
      </c>
      <c r="D14" s="1">
        <v>292.703857421875</v>
      </c>
      <c r="E14" s="1">
        <v>93.096488952636705</v>
      </c>
      <c r="F14" s="1">
        <v>37.736831665039098</v>
      </c>
      <c r="G14" s="1">
        <v>32.808120727539098</v>
      </c>
      <c r="H14" s="3">
        <f t="shared" si="0"/>
        <v>0.31805692542840813</v>
      </c>
      <c r="I14" s="4">
        <f t="shared" si="1"/>
        <v>0.59464817535451964</v>
      </c>
      <c r="J14" s="6">
        <f t="shared" si="2"/>
        <v>0.13060743894051269</v>
      </c>
      <c r="K14" s="8">
        <v>-0.13278067857027001</v>
      </c>
      <c r="L14" s="8">
        <v>0.76149999999999995</v>
      </c>
      <c r="M14" s="8">
        <v>0.64287313818931502</v>
      </c>
      <c r="N14" s="8">
        <v>0.85</v>
      </c>
      <c r="O14" s="8">
        <v>1.9195000000000002</v>
      </c>
      <c r="P14" s="8">
        <f t="shared" si="3"/>
        <v>1.1374577127297718</v>
      </c>
      <c r="Q14" s="11">
        <v>13</v>
      </c>
    </row>
    <row r="15" spans="1:17" x14ac:dyDescent="0.15">
      <c r="A15" s="1" t="s">
        <v>24</v>
      </c>
      <c r="B15" s="1">
        <v>51</v>
      </c>
      <c r="C15" s="1" t="s">
        <v>54</v>
      </c>
      <c r="D15" s="1">
        <v>277.92507934570301</v>
      </c>
      <c r="E15" s="1">
        <v>89.715789794921903</v>
      </c>
      <c r="F15" s="1">
        <v>0</v>
      </c>
      <c r="G15" s="1">
        <v>0</v>
      </c>
      <c r="H15" s="3">
        <f t="shared" si="0"/>
        <v>0.32280566405209876</v>
      </c>
      <c r="I15" s="4">
        <f t="shared" si="1"/>
        <v>1</v>
      </c>
      <c r="J15" s="3">
        <v>0</v>
      </c>
      <c r="K15" s="8">
        <v>2.6235437393188401</v>
      </c>
      <c r="L15" s="8">
        <v>0.58399999999999996</v>
      </c>
      <c r="M15" s="8">
        <v>2.15467069546381</v>
      </c>
      <c r="N15" s="8">
        <v>1.37</v>
      </c>
      <c r="O15" s="8">
        <v>1.6320000000000001</v>
      </c>
      <c r="P15" s="8">
        <f t="shared" si="3"/>
        <v>1.71889023182127</v>
      </c>
      <c r="Q15" s="11">
        <v>1</v>
      </c>
    </row>
    <row r="16" spans="1:17" x14ac:dyDescent="0.15">
      <c r="A16" s="1" t="s">
        <v>12</v>
      </c>
      <c r="B16" s="1">
        <v>52</v>
      </c>
      <c r="C16" s="1" t="s">
        <v>54</v>
      </c>
      <c r="D16" s="1">
        <v>346.97976684570301</v>
      </c>
      <c r="E16" s="1">
        <v>156.78890991210901</v>
      </c>
      <c r="F16" s="1">
        <v>113.950546264648</v>
      </c>
      <c r="G16" s="1">
        <v>103.67081451416</v>
      </c>
      <c r="H16" s="3">
        <f t="shared" si="0"/>
        <v>0.4518675867974481</v>
      </c>
      <c r="I16" s="4">
        <f t="shared" si="1"/>
        <v>0.27322317421222497</v>
      </c>
      <c r="J16" s="6">
        <v>0</v>
      </c>
      <c r="K16" s="8">
        <v>-4.9801606684923103E-2</v>
      </c>
      <c r="L16" s="8">
        <v>0.45300000000000001</v>
      </c>
      <c r="M16" s="8">
        <v>5.2200121184190502E-3</v>
      </c>
      <c r="N16" s="8">
        <v>0.94</v>
      </c>
      <c r="O16" s="8">
        <v>0.184</v>
      </c>
      <c r="P16" s="8">
        <f t="shared" si="3"/>
        <v>0.3764066707061397</v>
      </c>
      <c r="Q16" s="11">
        <v>8</v>
      </c>
    </row>
    <row r="17" spans="1:17" x14ac:dyDescent="0.15">
      <c r="A17" s="1" t="s">
        <v>12</v>
      </c>
      <c r="B17" s="1">
        <v>53</v>
      </c>
      <c r="C17" s="1" t="s">
        <v>54</v>
      </c>
      <c r="D17" s="1">
        <v>349.96301269531301</v>
      </c>
      <c r="E17" s="1">
        <v>123.129196166992</v>
      </c>
      <c r="F17" s="1">
        <v>123.129196166992</v>
      </c>
      <c r="G17" s="1">
        <v>122.473037719727</v>
      </c>
      <c r="H17" s="3">
        <f t="shared" si="0"/>
        <v>0.35183488454590345</v>
      </c>
      <c r="I17" s="3">
        <f t="shared" si="1"/>
        <v>0</v>
      </c>
      <c r="J17" s="6">
        <v>0</v>
      </c>
      <c r="K17" s="8">
        <v>0.45239883661270103</v>
      </c>
      <c r="L17" s="8">
        <v>1.0555000000000001</v>
      </c>
      <c r="M17" s="8">
        <v>0.22063656648000099</v>
      </c>
      <c r="N17" s="8">
        <v>0.88</v>
      </c>
      <c r="O17" s="8">
        <v>5.9499999999999997E-2</v>
      </c>
      <c r="P17" s="8">
        <f t="shared" si="3"/>
        <v>0.38671218882666708</v>
      </c>
      <c r="Q17" s="11">
        <v>6</v>
      </c>
    </row>
    <row r="18" spans="1:17" x14ac:dyDescent="0.15">
      <c r="A18" s="1" t="s">
        <v>22</v>
      </c>
      <c r="B18" s="1">
        <v>54</v>
      </c>
      <c r="C18" s="1" t="s">
        <v>54</v>
      </c>
      <c r="D18" s="1">
        <v>340.21865844726602</v>
      </c>
      <c r="E18" s="1">
        <v>97.116348266601605</v>
      </c>
      <c r="F18" s="1">
        <v>17.201391220092798</v>
      </c>
      <c r="G18" s="1">
        <v>17.201391220092798</v>
      </c>
      <c r="H18" s="3">
        <f t="shared" si="0"/>
        <v>0.28545274004028404</v>
      </c>
      <c r="I18" s="4">
        <f t="shared" si="1"/>
        <v>0.82287852120559624</v>
      </c>
      <c r="J18" s="3">
        <v>0</v>
      </c>
      <c r="K18" s="8">
        <v>1.03065973520279</v>
      </c>
      <c r="L18" s="8">
        <v>0.13950000000000001</v>
      </c>
      <c r="M18" s="8">
        <v>1.43808011213938</v>
      </c>
      <c r="N18" s="8">
        <v>1.7000000000000002</v>
      </c>
      <c r="O18" s="8">
        <v>1.5645</v>
      </c>
      <c r="P18" s="8">
        <f t="shared" si="3"/>
        <v>1.56752670404646</v>
      </c>
      <c r="Q18" s="11">
        <v>3</v>
      </c>
    </row>
    <row r="19" spans="1:17" x14ac:dyDescent="0.15">
      <c r="A19" s="1" t="s">
        <v>16</v>
      </c>
      <c r="B19" s="1">
        <v>55</v>
      </c>
      <c r="C19" s="1" t="s">
        <v>54</v>
      </c>
      <c r="D19" s="1">
        <v>289.38610839843801</v>
      </c>
      <c r="E19" s="1">
        <v>164.45716857910199</v>
      </c>
      <c r="F19" s="1">
        <v>4.9906735420227104</v>
      </c>
      <c r="G19" s="1">
        <v>4.9906735420227104</v>
      </c>
      <c r="H19" s="3">
        <f t="shared" si="0"/>
        <v>0.56829669360863366</v>
      </c>
      <c r="I19" s="4">
        <f t="shared" si="1"/>
        <v>0.96965365763534805</v>
      </c>
      <c r="J19" s="3">
        <v>0</v>
      </c>
      <c r="K19" s="8">
        <v>0.41967487335205</v>
      </c>
      <c r="L19" s="8">
        <v>-0.42749999999999999</v>
      </c>
      <c r="M19" s="8">
        <v>0.17302832752466199</v>
      </c>
      <c r="N19" s="8">
        <v>0.995</v>
      </c>
      <c r="O19" s="8">
        <v>1.3395000000000001</v>
      </c>
      <c r="P19" s="8">
        <f t="shared" si="3"/>
        <v>0.83584277584155409</v>
      </c>
      <c r="Q19" s="11">
        <v>7</v>
      </c>
    </row>
    <row r="20" spans="1:17" x14ac:dyDescent="0.15">
      <c r="A20" s="1" t="s">
        <v>10</v>
      </c>
      <c r="B20" s="1">
        <v>56</v>
      </c>
      <c r="C20" s="1" t="s">
        <v>54</v>
      </c>
      <c r="D20" s="1">
        <v>314.406494140625</v>
      </c>
      <c r="E20" s="1">
        <v>154.02383422851599</v>
      </c>
      <c r="F20" s="1">
        <v>136.77154541015599</v>
      </c>
      <c r="G20" s="1">
        <v>112.684516906738</v>
      </c>
      <c r="H20" s="3">
        <f t="shared" si="0"/>
        <v>0.48988757261364185</v>
      </c>
      <c r="I20" s="4">
        <f t="shared" si="1"/>
        <v>0.11201051385828902</v>
      </c>
      <c r="J20" s="6">
        <v>0</v>
      </c>
      <c r="K20" s="8">
        <v>-0.160426534712314</v>
      </c>
      <c r="L20" s="8">
        <v>3.6499999999999998E-2</v>
      </c>
      <c r="M20" s="8">
        <v>0.33729424327611901</v>
      </c>
      <c r="N20" s="8">
        <v>0.76500000000000001</v>
      </c>
      <c r="O20" s="8">
        <v>0.13500000000000001</v>
      </c>
      <c r="P20" s="8">
        <f t="shared" si="3"/>
        <v>0.41243141442537296</v>
      </c>
      <c r="Q20" s="11">
        <v>1</v>
      </c>
    </row>
    <row r="21" spans="1:17" x14ac:dyDescent="0.15">
      <c r="A21" s="1" t="s">
        <v>13</v>
      </c>
      <c r="B21" s="1">
        <v>57</v>
      </c>
      <c r="C21" s="1" t="s">
        <v>54</v>
      </c>
      <c r="D21" s="1">
        <v>230.76499938964801</v>
      </c>
      <c r="E21" s="1">
        <v>42.044143676757798</v>
      </c>
      <c r="F21" s="1">
        <v>24.043628692626999</v>
      </c>
      <c r="G21" s="1">
        <v>24.043628692626999</v>
      </c>
      <c r="H21" s="5">
        <f t="shared" si="0"/>
        <v>0.18219462998271252</v>
      </c>
      <c r="I21" s="4">
        <f t="shared" si="1"/>
        <v>0.42813370448264282</v>
      </c>
      <c r="J21" s="3">
        <v>0</v>
      </c>
      <c r="K21" s="8">
        <v>0.125659719109535</v>
      </c>
      <c r="L21" s="8">
        <v>0.42199999999999999</v>
      </c>
      <c r="M21" s="8">
        <v>6.4060625930626898E-3</v>
      </c>
      <c r="N21" s="8">
        <v>0.45999999999999996</v>
      </c>
      <c r="O21" s="8">
        <v>0.151</v>
      </c>
      <c r="P21" s="8">
        <f t="shared" si="3"/>
        <v>0.2058020208643542</v>
      </c>
      <c r="Q21" s="11">
        <v>4</v>
      </c>
    </row>
    <row r="22" spans="1:17" x14ac:dyDescent="0.15">
      <c r="A22" s="1" t="s">
        <v>11</v>
      </c>
      <c r="B22" s="1">
        <v>58</v>
      </c>
      <c r="D22" s="1">
        <v>241.787033081055</v>
      </c>
      <c r="E22" s="1">
        <v>127.504470825195</v>
      </c>
      <c r="F22" s="1">
        <v>28.192914962768601</v>
      </c>
      <c r="G22" s="1">
        <v>28.192914962768601</v>
      </c>
      <c r="H22" s="3">
        <f t="shared" si="0"/>
        <v>0.52734205470171469</v>
      </c>
      <c r="I22" s="4">
        <f t="shared" si="1"/>
        <v>0.77888685172914229</v>
      </c>
      <c r="J22" s="3">
        <v>0</v>
      </c>
      <c r="K22" s="8">
        <v>0.48508842289447801</v>
      </c>
      <c r="L22" s="8">
        <v>0.66949999999999998</v>
      </c>
      <c r="M22" s="8">
        <v>0.81644622484842899</v>
      </c>
      <c r="N22" s="8">
        <v>0.26500000000000001</v>
      </c>
      <c r="O22" s="8">
        <v>1.026</v>
      </c>
      <c r="P22" s="8">
        <f t="shared" si="3"/>
        <v>0.70248207494947634</v>
      </c>
      <c r="Q22" s="11">
        <v>2</v>
      </c>
    </row>
    <row r="23" spans="1:17" x14ac:dyDescent="0.15">
      <c r="A23" s="1" t="s">
        <v>23</v>
      </c>
      <c r="B23" s="1">
        <v>59</v>
      </c>
      <c r="D23" s="1">
        <v>269.9287109375</v>
      </c>
      <c r="E23" s="1">
        <v>78.110595703125</v>
      </c>
      <c r="F23" s="1">
        <v>66.341049194335895</v>
      </c>
      <c r="G23" s="1">
        <v>66.341049194335895</v>
      </c>
      <c r="H23" s="3">
        <f t="shared" si="0"/>
        <v>0.28937490729250709</v>
      </c>
      <c r="I23" s="4">
        <f t="shared" si="1"/>
        <v>0.15067797656442961</v>
      </c>
      <c r="J23" s="3">
        <v>0</v>
      </c>
      <c r="K23" s="8">
        <v>-0.15878131985664401</v>
      </c>
      <c r="L23" s="8">
        <v>0.10349999999999999</v>
      </c>
      <c r="M23" s="8">
        <v>0.43486483395099601</v>
      </c>
      <c r="N23" s="8">
        <v>0.29000000000000004</v>
      </c>
      <c r="O23" s="8">
        <v>0.49350000000000005</v>
      </c>
      <c r="P23" s="8">
        <f t="shared" si="3"/>
        <v>0.4061216113169987</v>
      </c>
      <c r="Q23" s="11">
        <v>2</v>
      </c>
    </row>
    <row r="24" spans="1:17" x14ac:dyDescent="0.15">
      <c r="A24" s="1" t="s">
        <v>15</v>
      </c>
      <c r="B24" s="1">
        <v>60</v>
      </c>
      <c r="D24" s="1">
        <v>285.59619140625</v>
      </c>
      <c r="E24" s="1">
        <v>34.035842895507798</v>
      </c>
      <c r="F24" s="1">
        <v>29.606512069702099</v>
      </c>
      <c r="G24" s="1">
        <v>29.606512069702099</v>
      </c>
      <c r="H24" s="5">
        <f t="shared" si="0"/>
        <v>0.11917470862590417</v>
      </c>
      <c r="I24" s="4">
        <f t="shared" si="1"/>
        <v>0.13013724500386334</v>
      </c>
      <c r="J24" s="3">
        <v>0</v>
      </c>
      <c r="K24" s="8">
        <v>0.221856653690337</v>
      </c>
      <c r="L24" s="8">
        <v>-0.127</v>
      </c>
      <c r="M24" s="8">
        <v>1.2520555059115099</v>
      </c>
      <c r="N24" s="8">
        <v>0.89999999999999991</v>
      </c>
      <c r="O24" s="8">
        <v>0.60850000000000004</v>
      </c>
      <c r="P24" s="8">
        <f t="shared" si="3"/>
        <v>0.92018516863717004</v>
      </c>
      <c r="Q24" s="11">
        <v>0</v>
      </c>
    </row>
    <row r="25" spans="1:17" x14ac:dyDescent="0.15">
      <c r="A25" s="1" t="s">
        <v>15</v>
      </c>
      <c r="B25" s="1">
        <v>61</v>
      </c>
      <c r="D25" s="1">
        <v>279.25134277343801</v>
      </c>
      <c r="E25" s="1">
        <v>102.12815856933599</v>
      </c>
      <c r="F25" s="1">
        <v>4.6126422882080096</v>
      </c>
      <c r="G25" s="1">
        <v>4.6126422882080096</v>
      </c>
      <c r="H25" s="3">
        <f t="shared" si="0"/>
        <v>0.36572128017373418</v>
      </c>
      <c r="I25" s="4">
        <f t="shared" si="1"/>
        <v>0.95483476493824737</v>
      </c>
      <c r="J25" s="3">
        <v>0</v>
      </c>
      <c r="K25" s="8">
        <v>0.79875776171684199</v>
      </c>
      <c r="L25" s="8">
        <v>0.92649999999999999</v>
      </c>
      <c r="M25" s="8">
        <v>0.81803146998087595</v>
      </c>
      <c r="N25" s="8">
        <v>1.26</v>
      </c>
      <c r="O25" s="8">
        <v>1.0699999999999998</v>
      </c>
      <c r="P25" s="8">
        <f t="shared" si="3"/>
        <v>1.0493438233269585</v>
      </c>
      <c r="Q25" s="11">
        <v>3</v>
      </c>
    </row>
    <row r="26" spans="1:17" x14ac:dyDescent="0.15">
      <c r="A26" s="1" t="s">
        <v>24</v>
      </c>
      <c r="B26" s="1">
        <v>62</v>
      </c>
      <c r="D26" s="1">
        <v>276.68783569335898</v>
      </c>
      <c r="E26" s="1">
        <v>69.283462524414105</v>
      </c>
      <c r="F26" s="1">
        <v>4.31307029724121</v>
      </c>
      <c r="G26" s="1">
        <v>4.0987782478332502</v>
      </c>
      <c r="H26" s="3">
        <f t="shared" si="0"/>
        <v>0.25040299422920037</v>
      </c>
      <c r="I26" s="4">
        <f t="shared" si="1"/>
        <v>0.93774747767952027</v>
      </c>
      <c r="J26" s="6">
        <v>0</v>
      </c>
      <c r="K26" s="8">
        <v>2.1098269224166901</v>
      </c>
      <c r="L26" s="8">
        <v>-0.13500000000000001</v>
      </c>
      <c r="M26" s="8">
        <v>0.942063108086586</v>
      </c>
      <c r="N26" s="8">
        <v>1.28</v>
      </c>
      <c r="O26" s="8">
        <v>0.68149999999999999</v>
      </c>
      <c r="P26" s="8">
        <f t="shared" si="3"/>
        <v>0.96785436936219538</v>
      </c>
      <c r="Q26" s="11">
        <v>3</v>
      </c>
    </row>
    <row r="27" spans="1:17" x14ac:dyDescent="0.15">
      <c r="A27" s="1" t="s">
        <v>12</v>
      </c>
      <c r="B27" s="1">
        <v>63</v>
      </c>
      <c r="C27" s="1" t="s">
        <v>59</v>
      </c>
      <c r="D27" s="1">
        <v>337.97048950195301</v>
      </c>
      <c r="E27" s="1">
        <v>172.25199890136699</v>
      </c>
      <c r="F27" s="1">
        <v>107.067672729492</v>
      </c>
      <c r="G27" s="1">
        <v>31.424028396606399</v>
      </c>
      <c r="H27" s="3">
        <f t="shared" si="0"/>
        <v>0.50966579702033898</v>
      </c>
      <c r="I27" s="4">
        <f t="shared" si="1"/>
        <v>0.37842420748452449</v>
      </c>
      <c r="J27" s="6">
        <v>0</v>
      </c>
      <c r="K27" s="8">
        <v>-0.27304942905902801</v>
      </c>
      <c r="L27" s="8">
        <v>0.54300000000000004</v>
      </c>
      <c r="M27" s="8">
        <v>0.36520259082317302</v>
      </c>
      <c r="N27" s="8">
        <v>1.26</v>
      </c>
      <c r="O27" s="8">
        <v>0.189</v>
      </c>
      <c r="P27" s="8">
        <f t="shared" si="3"/>
        <v>0.60473419694105768</v>
      </c>
      <c r="Q27" s="11">
        <v>4</v>
      </c>
    </row>
    <row r="28" spans="1:17" x14ac:dyDescent="0.15">
      <c r="A28" s="1" t="s">
        <v>10</v>
      </c>
      <c r="B28" s="1">
        <v>64</v>
      </c>
      <c r="C28" s="1" t="s">
        <v>34</v>
      </c>
      <c r="D28" s="1">
        <v>297.66888427734398</v>
      </c>
      <c r="E28" s="1">
        <v>97.978370666503906</v>
      </c>
      <c r="F28" s="1">
        <v>97.978370666503906</v>
      </c>
      <c r="G28" s="1">
        <v>79.363365173339801</v>
      </c>
      <c r="H28" s="3">
        <f t="shared" si="0"/>
        <v>0.32915220851641158</v>
      </c>
      <c r="I28" s="3">
        <f t="shared" si="1"/>
        <v>0</v>
      </c>
      <c r="J28" s="6">
        <v>0</v>
      </c>
      <c r="K28" s="8">
        <v>0.21386707574128999</v>
      </c>
      <c r="L28" s="8">
        <v>0.76200000000000001</v>
      </c>
      <c r="M28" s="8">
        <v>0.57510501146316495</v>
      </c>
      <c r="N28" s="8">
        <v>0.43</v>
      </c>
      <c r="O28" s="8">
        <v>0.1275</v>
      </c>
      <c r="P28" s="8">
        <f t="shared" si="3"/>
        <v>0.37753500382105498</v>
      </c>
      <c r="Q28" s="11">
        <v>0</v>
      </c>
    </row>
    <row r="29" spans="1:17" x14ac:dyDescent="0.15">
      <c r="A29" s="1" t="s">
        <v>15</v>
      </c>
      <c r="B29" s="1">
        <v>65</v>
      </c>
      <c r="C29" s="1" t="s">
        <v>33</v>
      </c>
      <c r="D29" s="1">
        <v>275.19680786132801</v>
      </c>
      <c r="E29" s="1">
        <v>96.176902770996094</v>
      </c>
      <c r="F29" s="1">
        <v>96.176902770996094</v>
      </c>
      <c r="G29" s="1">
        <v>50.847869873046903</v>
      </c>
      <c r="H29" s="3">
        <f t="shared" si="0"/>
        <v>0.34948407838894607</v>
      </c>
      <c r="I29" s="3">
        <f t="shared" si="1"/>
        <v>0</v>
      </c>
      <c r="J29" s="6">
        <v>0</v>
      </c>
      <c r="K29" s="8">
        <v>-0.688475161790847</v>
      </c>
      <c r="L29" s="8">
        <v>-1E-3</v>
      </c>
      <c r="M29" s="8">
        <v>0.23822966342171001</v>
      </c>
      <c r="N29" s="8">
        <v>0.3</v>
      </c>
      <c r="O29" s="8">
        <v>0.193</v>
      </c>
      <c r="P29" s="8">
        <f t="shared" si="3"/>
        <v>0.24374322114056998</v>
      </c>
      <c r="Q29" s="11">
        <v>4</v>
      </c>
    </row>
    <row r="30" spans="1:17" x14ac:dyDescent="0.15">
      <c r="A30" s="1" t="s">
        <v>18</v>
      </c>
      <c r="B30" s="1">
        <v>66</v>
      </c>
      <c r="C30" s="1" t="s">
        <v>33</v>
      </c>
      <c r="D30" s="1">
        <v>238.694091796875</v>
      </c>
      <c r="E30" s="1">
        <v>43.9125366210938</v>
      </c>
      <c r="F30" s="1">
        <v>15.4031734466553</v>
      </c>
      <c r="G30" s="1">
        <v>1.6362118721008301</v>
      </c>
      <c r="H30" s="5">
        <f t="shared" si="0"/>
        <v>0.18396993528630232</v>
      </c>
      <c r="I30" s="4">
        <f t="shared" si="1"/>
        <v>0.64923061540343263</v>
      </c>
      <c r="J30" s="6">
        <v>0</v>
      </c>
      <c r="K30" s="8">
        <v>-0.51519653201103199</v>
      </c>
      <c r="L30" s="8">
        <v>1.2535000000000001</v>
      </c>
      <c r="M30" s="8">
        <v>0.74861722191174795</v>
      </c>
      <c r="N30" s="8">
        <v>0.625</v>
      </c>
      <c r="O30" s="8">
        <v>0.32850000000000001</v>
      </c>
      <c r="P30" s="8">
        <f t="shared" si="3"/>
        <v>0.56737240730391603</v>
      </c>
      <c r="Q30" s="11">
        <v>5</v>
      </c>
    </row>
    <row r="31" spans="1:17" x14ac:dyDescent="0.15">
      <c r="A31" s="1" t="s">
        <v>17</v>
      </c>
      <c r="B31" s="1">
        <v>67</v>
      </c>
      <c r="C31" s="1" t="s">
        <v>33</v>
      </c>
      <c r="D31" s="1">
        <v>302.50622558593801</v>
      </c>
      <c r="E31" s="1">
        <v>20.7027797698975</v>
      </c>
      <c r="F31" s="1">
        <v>0</v>
      </c>
      <c r="G31" s="1">
        <v>0</v>
      </c>
      <c r="H31" s="5">
        <f t="shared" si="0"/>
        <v>6.843753291290898E-2</v>
      </c>
      <c r="I31" s="4">
        <f t="shared" si="1"/>
        <v>1</v>
      </c>
      <c r="J31" s="3">
        <v>0</v>
      </c>
      <c r="K31" s="8">
        <v>2.9859918355941701</v>
      </c>
      <c r="L31" s="8">
        <v>0.39800000000000002</v>
      </c>
      <c r="M31" s="8">
        <v>2.8787662585576301</v>
      </c>
      <c r="N31" s="8">
        <v>1.835</v>
      </c>
      <c r="O31" s="8">
        <v>1.7150000000000001</v>
      </c>
      <c r="P31" s="8">
        <f t="shared" si="3"/>
        <v>2.1429220861858767</v>
      </c>
      <c r="Q31" s="11">
        <v>4</v>
      </c>
    </row>
    <row r="32" spans="1:17" x14ac:dyDescent="0.15">
      <c r="A32" s="1" t="s">
        <v>16</v>
      </c>
      <c r="B32" s="1">
        <v>68</v>
      </c>
      <c r="C32" s="1" t="s">
        <v>33</v>
      </c>
      <c r="D32" s="1">
        <v>278.73892211914102</v>
      </c>
      <c r="E32" s="1">
        <v>57.668910980224602</v>
      </c>
      <c r="F32" s="1">
        <v>57.668910980224602</v>
      </c>
      <c r="G32" s="1">
        <v>57.668910980224602</v>
      </c>
      <c r="H32" s="3">
        <f t="shared" si="0"/>
        <v>0.20689220773974024</v>
      </c>
      <c r="I32" s="3">
        <f t="shared" si="1"/>
        <v>0</v>
      </c>
      <c r="J32" s="3">
        <v>0</v>
      </c>
      <c r="K32" s="8">
        <v>6.16832207888365E-2</v>
      </c>
      <c r="L32" s="8">
        <v>2.6499999999999999E-2</v>
      </c>
      <c r="M32" s="8">
        <v>0.23438284049431499</v>
      </c>
      <c r="N32" s="8">
        <v>0.83000000000000007</v>
      </c>
      <c r="O32" s="8">
        <v>0.32699999999999996</v>
      </c>
      <c r="P32" s="8">
        <f t="shared" si="3"/>
        <v>0.46379428016477164</v>
      </c>
      <c r="Q32" s="11">
        <v>3</v>
      </c>
    </row>
    <row r="33" spans="1:17" x14ac:dyDescent="0.15">
      <c r="A33" s="1" t="s">
        <v>12</v>
      </c>
      <c r="B33" s="1">
        <v>69</v>
      </c>
      <c r="C33" s="1" t="s">
        <v>33</v>
      </c>
      <c r="D33" s="1">
        <v>340.38623046875</v>
      </c>
      <c r="E33" s="1">
        <v>135.59593200683599</v>
      </c>
      <c r="F33" s="1">
        <v>84.878288269042997</v>
      </c>
      <c r="G33" s="1">
        <v>66.724723815917997</v>
      </c>
      <c r="H33" s="3">
        <f t="shared" ref="H33:H64" si="4">E33/D33</f>
        <v>0.39835904002375533</v>
      </c>
      <c r="I33" s="4">
        <f t="shared" ref="I33:I64" si="5">(E33-F33)/E33</f>
        <v>0.37403514240557079</v>
      </c>
      <c r="J33" s="6">
        <v>0</v>
      </c>
      <c r="K33" s="8">
        <v>-0.14353115111589301</v>
      </c>
      <c r="L33" s="8">
        <v>0.4995</v>
      </c>
      <c r="M33" s="8">
        <v>0.480620344479879</v>
      </c>
      <c r="N33" s="8">
        <v>0.89999999999999991</v>
      </c>
      <c r="O33" s="8">
        <v>0.26450000000000001</v>
      </c>
      <c r="P33" s="8">
        <f t="shared" ref="P33:P64" si="6">AVERAGE(M33:O33)</f>
        <v>0.54837344815995959</v>
      </c>
      <c r="Q33" s="11">
        <v>2</v>
      </c>
    </row>
    <row r="34" spans="1:17" x14ac:dyDescent="0.15">
      <c r="A34" s="1" t="s">
        <v>15</v>
      </c>
      <c r="B34" s="1">
        <v>70</v>
      </c>
      <c r="C34" s="1" t="s">
        <v>33</v>
      </c>
      <c r="D34" s="1">
        <v>279.25814819335898</v>
      </c>
      <c r="E34" s="1">
        <v>80.911087036132798</v>
      </c>
      <c r="F34" s="1">
        <v>0.96610254049301103</v>
      </c>
      <c r="G34" s="1">
        <v>0.96610254049301103</v>
      </c>
      <c r="H34" s="3">
        <f t="shared" si="4"/>
        <v>0.28973581454858671</v>
      </c>
      <c r="I34" s="4">
        <f t="shared" si="5"/>
        <v>0.98805970138478583</v>
      </c>
      <c r="J34" s="3">
        <v>0</v>
      </c>
      <c r="K34" s="8">
        <v>1.36652266979217</v>
      </c>
      <c r="L34" s="8">
        <v>0.3125</v>
      </c>
      <c r="M34" s="8">
        <v>1.1614237030347101</v>
      </c>
      <c r="N34" s="8">
        <v>1.1749999999999998</v>
      </c>
      <c r="O34" s="8">
        <v>1.167</v>
      </c>
      <c r="P34" s="8">
        <f t="shared" si="6"/>
        <v>1.1678079010115701</v>
      </c>
      <c r="Q34" s="11">
        <v>0</v>
      </c>
    </row>
    <row r="35" spans="1:17" x14ac:dyDescent="0.15">
      <c r="A35" s="1" t="s">
        <v>19</v>
      </c>
      <c r="B35" s="1">
        <v>71</v>
      </c>
      <c r="C35" s="1" t="s">
        <v>33</v>
      </c>
      <c r="D35" s="1">
        <v>241.93266296386699</v>
      </c>
      <c r="E35" s="1">
        <v>15.317892074585</v>
      </c>
      <c r="F35" s="1">
        <v>0.24152563512325301</v>
      </c>
      <c r="G35" s="1">
        <v>0.24152563512325301</v>
      </c>
      <c r="H35" s="5">
        <f t="shared" si="4"/>
        <v>6.3314692141725193E-2</v>
      </c>
      <c r="I35" s="4">
        <f t="shared" si="5"/>
        <v>0.98423244961204648</v>
      </c>
      <c r="J35" s="3">
        <v>0</v>
      </c>
      <c r="K35" s="8">
        <v>1.77443063259124</v>
      </c>
      <c r="L35" s="8">
        <v>0.33800000000000002</v>
      </c>
      <c r="M35" s="8">
        <v>2.2528915206591198</v>
      </c>
      <c r="N35" s="8">
        <v>0.77</v>
      </c>
      <c r="O35" s="8">
        <v>0.73950000000000005</v>
      </c>
      <c r="P35" s="8">
        <f t="shared" si="6"/>
        <v>1.2541305068863733</v>
      </c>
      <c r="Q35" s="11">
        <v>4</v>
      </c>
    </row>
    <row r="36" spans="1:17" x14ac:dyDescent="0.15">
      <c r="A36" s="1" t="s">
        <v>12</v>
      </c>
      <c r="B36" s="1">
        <v>72</v>
      </c>
      <c r="C36" s="1" t="s">
        <v>33</v>
      </c>
      <c r="D36" s="1">
        <v>331.87442016601602</v>
      </c>
      <c r="E36" s="1">
        <v>94.403305053710895</v>
      </c>
      <c r="F36" s="1">
        <v>62.589500427246101</v>
      </c>
      <c r="G36" s="1">
        <v>39.797248840332003</v>
      </c>
      <c r="H36" s="3">
        <f t="shared" si="4"/>
        <v>0.28445490015918318</v>
      </c>
      <c r="I36" s="4">
        <f t="shared" si="5"/>
        <v>0.33699884350833148</v>
      </c>
      <c r="J36" s="6">
        <v>0</v>
      </c>
      <c r="K36" s="8">
        <v>-3.07752391090617E-2</v>
      </c>
      <c r="L36" s="8">
        <v>0.22500000000000001</v>
      </c>
      <c r="M36" s="8">
        <v>0.27189486225446002</v>
      </c>
      <c r="N36" s="8">
        <v>0.56000000000000005</v>
      </c>
      <c r="O36" s="8">
        <v>0.2165</v>
      </c>
      <c r="P36" s="8">
        <f t="shared" si="6"/>
        <v>0.34946495408482003</v>
      </c>
      <c r="Q36" s="11">
        <v>8</v>
      </c>
    </row>
    <row r="37" spans="1:17" x14ac:dyDescent="0.15">
      <c r="A37" s="1" t="s">
        <v>23</v>
      </c>
      <c r="B37" s="1">
        <v>73</v>
      </c>
      <c r="C37" s="1" t="s">
        <v>33</v>
      </c>
      <c r="D37" s="1">
        <v>288.06671142578102</v>
      </c>
      <c r="E37" s="1">
        <v>103.457397460937</v>
      </c>
      <c r="F37" s="1">
        <v>29.497726440429702</v>
      </c>
      <c r="G37" s="1">
        <v>29.497726440429702</v>
      </c>
      <c r="H37" s="3">
        <f t="shared" si="4"/>
        <v>0.35914388354307397</v>
      </c>
      <c r="I37" s="4">
        <f t="shared" si="5"/>
        <v>0.71488045162196034</v>
      </c>
      <c r="J37" s="3">
        <v>0</v>
      </c>
      <c r="K37" s="8">
        <v>0.46439447999000499</v>
      </c>
      <c r="L37" s="8">
        <v>2.35E-2</v>
      </c>
      <c r="M37" s="8">
        <v>0.41635980208714801</v>
      </c>
      <c r="N37" s="8">
        <v>0.44</v>
      </c>
      <c r="O37" s="8">
        <v>0.51400000000000001</v>
      </c>
      <c r="P37" s="8">
        <f t="shared" si="6"/>
        <v>0.45678660069571597</v>
      </c>
      <c r="Q37" s="11">
        <v>16</v>
      </c>
    </row>
    <row r="38" spans="1:17" x14ac:dyDescent="0.15">
      <c r="A38" s="1" t="s">
        <v>24</v>
      </c>
      <c r="B38" s="1">
        <v>74</v>
      </c>
      <c r="C38" s="1" t="s">
        <v>33</v>
      </c>
      <c r="D38" s="1">
        <v>273.60043334960898</v>
      </c>
      <c r="E38" s="1">
        <v>90.463180541992202</v>
      </c>
      <c r="F38" s="1">
        <v>6.4122571945190403</v>
      </c>
      <c r="G38" s="1">
        <v>6.4122571945190403</v>
      </c>
      <c r="H38" s="3">
        <f t="shared" si="4"/>
        <v>0.33063975606499707</v>
      </c>
      <c r="I38" s="4">
        <f t="shared" si="5"/>
        <v>0.92911749115937248</v>
      </c>
      <c r="J38" s="3">
        <v>0</v>
      </c>
      <c r="K38" s="8">
        <v>1.7213732600211999</v>
      </c>
      <c r="L38" s="8">
        <v>-0.123</v>
      </c>
      <c r="M38" s="8">
        <v>0.71024555464585604</v>
      </c>
      <c r="N38" s="8">
        <v>1.5249999999999999</v>
      </c>
      <c r="O38" s="8">
        <v>0.59349999999999992</v>
      </c>
      <c r="P38" s="8">
        <f t="shared" si="6"/>
        <v>0.94291518488195203</v>
      </c>
      <c r="Q38" s="11">
        <v>3</v>
      </c>
    </row>
    <row r="39" spans="1:17" x14ac:dyDescent="0.15">
      <c r="A39" s="1" t="s">
        <v>9</v>
      </c>
      <c r="B39" s="1">
        <v>75</v>
      </c>
      <c r="C39" s="1" t="s">
        <v>33</v>
      </c>
      <c r="D39" s="1">
        <v>206.307861328125</v>
      </c>
      <c r="E39" s="1">
        <v>15.1248826980591</v>
      </c>
      <c r="F39" s="1">
        <v>0.72457689046859697</v>
      </c>
      <c r="G39" s="1">
        <v>0.72457689046859697</v>
      </c>
      <c r="H39" s="5">
        <f t="shared" si="4"/>
        <v>7.3312197609394711E-2</v>
      </c>
      <c r="I39" s="4">
        <f t="shared" si="5"/>
        <v>0.95209371834919565</v>
      </c>
      <c r="J39" s="3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f t="shared" si="6"/>
        <v>0</v>
      </c>
      <c r="Q39" s="11">
        <v>6</v>
      </c>
    </row>
    <row r="40" spans="1:17" x14ac:dyDescent="0.15">
      <c r="A40" s="1" t="s">
        <v>16</v>
      </c>
      <c r="B40" s="1">
        <v>76</v>
      </c>
      <c r="C40" s="1" t="s">
        <v>33</v>
      </c>
      <c r="D40" s="1">
        <v>293.98052978515602</v>
      </c>
      <c r="E40" s="1">
        <v>119.499557495117</v>
      </c>
      <c r="F40" s="1">
        <v>87.537689208984403</v>
      </c>
      <c r="G40" s="1">
        <v>87.537689208984403</v>
      </c>
      <c r="H40" s="3">
        <f t="shared" si="4"/>
        <v>0.40648799967279636</v>
      </c>
      <c r="I40" s="4">
        <f t="shared" si="5"/>
        <v>0.26746432335064191</v>
      </c>
      <c r="J40" s="3">
        <v>0</v>
      </c>
      <c r="K40" s="8">
        <v>-0.46884068846702598</v>
      </c>
      <c r="L40" s="8">
        <v>-6.0000000000000001E-3</v>
      </c>
      <c r="M40" s="8">
        <v>-9.7214745978514205E-2</v>
      </c>
      <c r="N40" s="8">
        <v>0.33499999999999996</v>
      </c>
      <c r="O40" s="8">
        <v>0.1595</v>
      </c>
      <c r="P40" s="8">
        <f t="shared" si="6"/>
        <v>0.1324284180071619</v>
      </c>
      <c r="Q40" s="11">
        <v>4</v>
      </c>
    </row>
    <row r="41" spans="1:17" x14ac:dyDescent="0.15">
      <c r="A41" s="1" t="s">
        <v>25</v>
      </c>
      <c r="B41" s="1">
        <v>77</v>
      </c>
      <c r="C41" s="1" t="s">
        <v>33</v>
      </c>
      <c r="D41" s="1">
        <v>269.48593139648398</v>
      </c>
      <c r="E41" s="1">
        <v>130.63552856445301</v>
      </c>
      <c r="F41" s="1">
        <v>130.63552856445301</v>
      </c>
      <c r="G41" s="1">
        <v>130.63552856445301</v>
      </c>
      <c r="H41" s="3">
        <f t="shared" si="4"/>
        <v>0.48475825022662922</v>
      </c>
      <c r="I41" s="3">
        <f t="shared" si="5"/>
        <v>0</v>
      </c>
      <c r="J41" s="3">
        <v>0</v>
      </c>
      <c r="K41" s="8">
        <v>-0.19365733861923201</v>
      </c>
      <c r="L41" s="8">
        <v>-0.1125</v>
      </c>
      <c r="M41" s="8">
        <v>0.12693905085325199</v>
      </c>
      <c r="N41" s="8">
        <v>0.71</v>
      </c>
      <c r="O41" s="8">
        <v>0.128</v>
      </c>
      <c r="P41" s="8">
        <f t="shared" si="6"/>
        <v>0.32164635028441729</v>
      </c>
      <c r="Q41" s="11">
        <v>8</v>
      </c>
    </row>
    <row r="42" spans="1:17" x14ac:dyDescent="0.15">
      <c r="A42" s="1" t="s">
        <v>17</v>
      </c>
      <c r="B42" s="1">
        <v>78</v>
      </c>
      <c r="C42" s="1" t="s">
        <v>36</v>
      </c>
      <c r="D42" s="1">
        <v>313.27511596679699</v>
      </c>
      <c r="E42" s="1">
        <v>186.818359375</v>
      </c>
      <c r="F42" s="1">
        <v>86.935691833496094</v>
      </c>
      <c r="G42" s="1">
        <v>86.935691833496094</v>
      </c>
      <c r="H42" s="3">
        <f t="shared" si="4"/>
        <v>0.59633960647803341</v>
      </c>
      <c r="I42" s="4">
        <f t="shared" si="5"/>
        <v>0.53465124025101673</v>
      </c>
      <c r="J42" s="3">
        <v>0</v>
      </c>
      <c r="K42" s="8">
        <v>1.79557681083679</v>
      </c>
      <c r="L42" s="8">
        <v>-0.26250000000000001</v>
      </c>
      <c r="M42" s="8">
        <v>0.97472568353017097</v>
      </c>
      <c r="N42" s="8">
        <v>1.5</v>
      </c>
      <c r="O42" s="8">
        <v>0.76550000000000007</v>
      </c>
      <c r="P42" s="8">
        <f t="shared" si="6"/>
        <v>1.0800752278433903</v>
      </c>
      <c r="Q42" s="11">
        <v>5</v>
      </c>
    </row>
    <row r="43" spans="1:17" x14ac:dyDescent="0.15">
      <c r="A43" s="1" t="s">
        <v>10</v>
      </c>
      <c r="B43" s="1">
        <v>79</v>
      </c>
      <c r="C43" s="1" t="s">
        <v>36</v>
      </c>
      <c r="D43" s="1">
        <v>296.28512573242199</v>
      </c>
      <c r="E43" s="1">
        <v>122.86776733398401</v>
      </c>
      <c r="F43" s="1">
        <v>82.611968994140597</v>
      </c>
      <c r="G43" s="1">
        <v>82.611968994140597</v>
      </c>
      <c r="H43" s="3">
        <f t="shared" si="4"/>
        <v>0.41469434899998014</v>
      </c>
      <c r="I43" s="4">
        <f t="shared" si="5"/>
        <v>0.3276351415291735</v>
      </c>
      <c r="J43" s="3">
        <v>0</v>
      </c>
      <c r="K43" s="8">
        <v>-0.27939532697200697</v>
      </c>
      <c r="L43" s="8">
        <v>0.46350000000000002</v>
      </c>
      <c r="M43" s="8">
        <v>0.42854186271627698</v>
      </c>
      <c r="N43" s="8">
        <v>0.7350000000000001</v>
      </c>
      <c r="O43" s="8">
        <v>0.22750000000000001</v>
      </c>
      <c r="P43" s="8">
        <f t="shared" si="6"/>
        <v>0.46368062090542567</v>
      </c>
      <c r="Q43" s="11">
        <v>4</v>
      </c>
    </row>
    <row r="44" spans="1:17" x14ac:dyDescent="0.15">
      <c r="A44" s="1" t="s">
        <v>11</v>
      </c>
      <c r="B44" s="1">
        <v>80</v>
      </c>
      <c r="C44" s="1" t="s">
        <v>35</v>
      </c>
      <c r="D44" s="1">
        <v>243.55601501464801</v>
      </c>
      <c r="E44" s="1">
        <v>87.402587890625</v>
      </c>
      <c r="F44" s="1">
        <v>87.402587890625</v>
      </c>
      <c r="G44" s="1">
        <v>87.402587890625</v>
      </c>
      <c r="H44" s="3">
        <f t="shared" si="4"/>
        <v>0.35886031344932462</v>
      </c>
      <c r="I44" s="3">
        <f t="shared" si="5"/>
        <v>0</v>
      </c>
      <c r="J44" s="3">
        <v>0</v>
      </c>
      <c r="K44" s="8">
        <v>0.14449641108512801</v>
      </c>
      <c r="L44" s="8">
        <v>0.16800000000000001</v>
      </c>
      <c r="M44" s="8">
        <v>0.28373533735672601</v>
      </c>
      <c r="N44" s="8">
        <v>0.25</v>
      </c>
      <c r="O44" s="8">
        <v>0.1095</v>
      </c>
      <c r="P44" s="8">
        <f t="shared" si="6"/>
        <v>0.21441177911890866</v>
      </c>
      <c r="Q44" s="11">
        <v>4</v>
      </c>
    </row>
    <row r="45" spans="1:17" x14ac:dyDescent="0.15">
      <c r="A45" s="1" t="s">
        <v>25</v>
      </c>
      <c r="B45" s="1">
        <v>81</v>
      </c>
      <c r="C45" s="1" t="s">
        <v>35</v>
      </c>
      <c r="D45" s="1">
        <v>254.580810546875</v>
      </c>
      <c r="E45" s="1">
        <v>140.77006530761699</v>
      </c>
      <c r="F45" s="1">
        <v>104.723907470703</v>
      </c>
      <c r="G45" s="1">
        <v>99.366622924804702</v>
      </c>
      <c r="H45" s="3">
        <f t="shared" si="4"/>
        <v>0.55294845281238325</v>
      </c>
      <c r="I45" s="4">
        <f t="shared" si="5"/>
        <v>0.25606408406605713</v>
      </c>
      <c r="J45" s="6">
        <v>0</v>
      </c>
      <c r="K45" s="8">
        <v>0.69847008585929804</v>
      </c>
      <c r="L45" s="8">
        <v>0.11650000000000001</v>
      </c>
      <c r="M45" s="8">
        <v>0.25823557780434597</v>
      </c>
      <c r="N45" s="8">
        <v>0.82</v>
      </c>
      <c r="O45" s="8">
        <v>8.299999999999999E-2</v>
      </c>
      <c r="P45" s="8">
        <f t="shared" si="6"/>
        <v>0.38707852593478198</v>
      </c>
      <c r="Q45" s="11">
        <v>15</v>
      </c>
    </row>
    <row r="46" spans="1:17" x14ac:dyDescent="0.15">
      <c r="A46" s="1" t="s">
        <v>15</v>
      </c>
      <c r="B46" s="1">
        <v>82</v>
      </c>
      <c r="C46" s="1" t="s">
        <v>35</v>
      </c>
      <c r="D46" s="1">
        <v>278.18704223632801</v>
      </c>
      <c r="E46" s="1">
        <v>87.680389404296903</v>
      </c>
      <c r="F46" s="1">
        <v>31.6464443206787</v>
      </c>
      <c r="G46" s="1">
        <v>30.789278030395501</v>
      </c>
      <c r="H46" s="3">
        <f t="shared" si="4"/>
        <v>0.31518502335493348</v>
      </c>
      <c r="I46" s="4">
        <f t="shared" si="5"/>
        <v>0.63907044054336948</v>
      </c>
      <c r="J46" s="6">
        <v>0</v>
      </c>
      <c r="K46" s="8">
        <v>1.3236983418464601</v>
      </c>
      <c r="L46" s="8">
        <v>-5.5500000000000001E-2</v>
      </c>
      <c r="M46" s="8">
        <v>0.53303664426008801</v>
      </c>
      <c r="N46" s="8">
        <v>1.1749999999999998</v>
      </c>
      <c r="O46" s="8">
        <v>0.36199999999999999</v>
      </c>
      <c r="P46" s="8">
        <f t="shared" si="6"/>
        <v>0.69001221475336261</v>
      </c>
      <c r="Q46" s="11">
        <v>5</v>
      </c>
    </row>
    <row r="47" spans="1:17" x14ac:dyDescent="0.15">
      <c r="A47" s="1" t="s">
        <v>12</v>
      </c>
      <c r="B47" s="1">
        <v>83</v>
      </c>
      <c r="C47" s="1" t="s">
        <v>60</v>
      </c>
      <c r="D47" s="1">
        <v>337.03311157226602</v>
      </c>
      <c r="E47" s="1">
        <v>213.9599609375</v>
      </c>
      <c r="F47" s="1">
        <v>155.22998046875</v>
      </c>
      <c r="G47" s="1">
        <v>25.102832794189499</v>
      </c>
      <c r="H47" s="3">
        <f t="shared" si="4"/>
        <v>0.63483365162364203</v>
      </c>
      <c r="I47" s="4">
        <f t="shared" si="5"/>
        <v>0.27449051781190809</v>
      </c>
      <c r="J47" s="6">
        <v>0</v>
      </c>
      <c r="K47" s="8">
        <v>0.20774753391742701</v>
      </c>
      <c r="L47" s="8">
        <v>1.1499999999999999</v>
      </c>
      <c r="M47" s="8">
        <v>0.27543646842241198</v>
      </c>
      <c r="N47" s="8">
        <v>1.17</v>
      </c>
      <c r="O47" s="8">
        <v>0.13900000000000001</v>
      </c>
      <c r="P47" s="8">
        <f t="shared" si="6"/>
        <v>0.52814548947413731</v>
      </c>
      <c r="Q47" s="11">
        <v>8</v>
      </c>
    </row>
    <row r="48" spans="1:17" x14ac:dyDescent="0.15">
      <c r="A48" s="1" t="s">
        <v>17</v>
      </c>
      <c r="B48" s="1">
        <v>84</v>
      </c>
      <c r="C48" s="1" t="s">
        <v>37</v>
      </c>
      <c r="D48" s="1">
        <v>314.65194702148398</v>
      </c>
      <c r="E48" s="1">
        <v>56.836265563964801</v>
      </c>
      <c r="F48" s="1">
        <v>25.437934875488299</v>
      </c>
      <c r="G48" s="1">
        <v>5.6876797676086399</v>
      </c>
      <c r="H48" s="5">
        <f t="shared" si="4"/>
        <v>0.18063217501744588</v>
      </c>
      <c r="I48" s="4">
        <f t="shared" si="5"/>
        <v>0.55243479452639477</v>
      </c>
      <c r="J48" s="6">
        <v>0</v>
      </c>
      <c r="K48" s="8">
        <v>3.5596513748168901</v>
      </c>
      <c r="L48" s="8">
        <v>-0.22600000000000001</v>
      </c>
      <c r="M48" s="8">
        <v>1.6610420942306401</v>
      </c>
      <c r="N48" s="8">
        <v>1.53</v>
      </c>
      <c r="O48" s="8">
        <v>0.56950000000000001</v>
      </c>
      <c r="P48" s="8">
        <f t="shared" si="6"/>
        <v>1.2535140314102133</v>
      </c>
      <c r="Q48" s="11">
        <v>3</v>
      </c>
    </row>
    <row r="49" spans="1:17" x14ac:dyDescent="0.15">
      <c r="A49" s="1" t="s">
        <v>16</v>
      </c>
      <c r="B49" s="1">
        <v>85</v>
      </c>
      <c r="C49" s="1" t="s">
        <v>39</v>
      </c>
      <c r="D49" s="1">
        <v>288.03723144531301</v>
      </c>
      <c r="E49" s="1">
        <v>145.91882324218699</v>
      </c>
      <c r="F49" s="1">
        <v>72.510581970214801</v>
      </c>
      <c r="G49" s="1">
        <v>44.412933349609403</v>
      </c>
      <c r="H49" s="3">
        <f t="shared" si="4"/>
        <v>0.50659708993172736</v>
      </c>
      <c r="I49" s="4">
        <f t="shared" si="5"/>
        <v>0.50307588589947549</v>
      </c>
      <c r="J49" s="6">
        <v>0</v>
      </c>
      <c r="K49" s="8">
        <v>-0.466167911887168</v>
      </c>
      <c r="L49" s="8">
        <v>-6.0999999999999999E-2</v>
      </c>
      <c r="M49" s="8">
        <v>5.30448295176029E-2</v>
      </c>
      <c r="N49" s="8">
        <v>0.9</v>
      </c>
      <c r="O49" s="8">
        <v>0.13650000000000001</v>
      </c>
      <c r="P49" s="8">
        <f t="shared" si="6"/>
        <v>0.36318160983920095</v>
      </c>
      <c r="Q49" s="11">
        <v>2</v>
      </c>
    </row>
    <row r="50" spans="1:17" x14ac:dyDescent="0.15">
      <c r="A50" s="1" t="s">
        <v>13</v>
      </c>
      <c r="B50" s="1">
        <v>86</v>
      </c>
      <c r="C50" s="1" t="s">
        <v>39</v>
      </c>
      <c r="D50" s="1">
        <v>221.46788024902301</v>
      </c>
      <c r="E50" s="1">
        <v>85.223739624023395</v>
      </c>
      <c r="F50" s="1">
        <v>85.223739624023395</v>
      </c>
      <c r="G50" s="1">
        <v>67.8756103515625</v>
      </c>
      <c r="H50" s="3">
        <f t="shared" si="4"/>
        <v>0.38481309130785052</v>
      </c>
      <c r="I50" s="3">
        <f t="shared" si="5"/>
        <v>0</v>
      </c>
      <c r="J50" s="6">
        <v>0</v>
      </c>
      <c r="K50" s="8">
        <v>-0.304958716034888</v>
      </c>
      <c r="L50" s="8">
        <v>0.28050000000000003</v>
      </c>
      <c r="M50" s="8">
        <v>-3.1960138119757099E-2</v>
      </c>
      <c r="N50" s="8">
        <v>0.57999999999999996</v>
      </c>
      <c r="O50" s="8">
        <v>4.2000000000000003E-2</v>
      </c>
      <c r="P50" s="8">
        <f t="shared" si="6"/>
        <v>0.19667995396008098</v>
      </c>
      <c r="Q50" s="11">
        <v>7</v>
      </c>
    </row>
    <row r="51" spans="1:17" x14ac:dyDescent="0.15">
      <c r="A51" s="1" t="s">
        <v>13</v>
      </c>
      <c r="B51" s="1">
        <v>87</v>
      </c>
      <c r="C51" s="1" t="s">
        <v>38</v>
      </c>
      <c r="D51" s="1">
        <v>218.07376098632801</v>
      </c>
      <c r="E51" s="1">
        <v>75.017852783203097</v>
      </c>
      <c r="F51" s="1">
        <v>42.336555480957003</v>
      </c>
      <c r="G51" s="1">
        <v>42.336555480957003</v>
      </c>
      <c r="H51" s="3">
        <f t="shared" si="4"/>
        <v>0.34400219652242475</v>
      </c>
      <c r="I51" s="4">
        <f t="shared" si="5"/>
        <v>0.43564693056055603</v>
      </c>
      <c r="J51" s="3">
        <v>0</v>
      </c>
      <c r="K51" s="8">
        <v>-6.4449571073055105E-4</v>
      </c>
      <c r="L51" s="8">
        <v>0.17799999999999999</v>
      </c>
      <c r="M51" s="8">
        <v>-3.2479589184124902E-3</v>
      </c>
      <c r="N51" s="8">
        <v>0.48499999999999999</v>
      </c>
      <c r="O51" s="8">
        <v>2.4E-2</v>
      </c>
      <c r="P51" s="8">
        <f t="shared" si="6"/>
        <v>0.16858401369386247</v>
      </c>
      <c r="Q51" s="11">
        <v>3</v>
      </c>
    </row>
    <row r="52" spans="1:17" x14ac:dyDescent="0.15">
      <c r="A52" s="1" t="s">
        <v>9</v>
      </c>
      <c r="B52" s="1">
        <v>88</v>
      </c>
      <c r="C52" s="1" t="s">
        <v>38</v>
      </c>
      <c r="D52" s="1">
        <v>209.96223449707</v>
      </c>
      <c r="E52" s="1">
        <v>38.440353393554702</v>
      </c>
      <c r="F52" s="1">
        <v>0</v>
      </c>
      <c r="G52" s="1">
        <v>0</v>
      </c>
      <c r="H52" s="5">
        <f t="shared" si="4"/>
        <v>0.18308222659961801</v>
      </c>
      <c r="I52" s="4">
        <f t="shared" si="5"/>
        <v>1</v>
      </c>
      <c r="J52" s="3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f t="shared" si="6"/>
        <v>0</v>
      </c>
      <c r="Q52" s="11">
        <v>5</v>
      </c>
    </row>
    <row r="53" spans="1:17" x14ac:dyDescent="0.15">
      <c r="A53" s="1" t="s">
        <v>19</v>
      </c>
      <c r="B53" s="1">
        <v>89</v>
      </c>
      <c r="C53" s="1" t="s">
        <v>38</v>
      </c>
      <c r="D53" s="1">
        <v>248.885498046875</v>
      </c>
      <c r="E53" s="1">
        <v>5.5550894737243697</v>
      </c>
      <c r="F53" s="1">
        <v>5.5550894737243697</v>
      </c>
      <c r="G53" s="1">
        <v>5.5550894737243697</v>
      </c>
      <c r="H53" s="5">
        <f t="shared" si="4"/>
        <v>2.2319860005174452E-2</v>
      </c>
      <c r="I53" s="3">
        <f t="shared" si="5"/>
        <v>0</v>
      </c>
      <c r="J53" s="3">
        <v>0</v>
      </c>
      <c r="K53" s="8">
        <v>0.40497748553752799</v>
      </c>
      <c r="L53" s="8">
        <v>0.10349999999999999</v>
      </c>
      <c r="M53" s="8">
        <v>0.72753043472766898</v>
      </c>
      <c r="N53" s="8">
        <v>0.75</v>
      </c>
      <c r="O53" s="8">
        <v>0.16699999999999998</v>
      </c>
      <c r="P53" s="8">
        <f t="shared" si="6"/>
        <v>0.54817681157588971</v>
      </c>
      <c r="Q53" s="11">
        <v>6</v>
      </c>
    </row>
    <row r="54" spans="1:17" x14ac:dyDescent="0.15">
      <c r="A54" s="1" t="s">
        <v>26</v>
      </c>
      <c r="B54" s="1">
        <v>90</v>
      </c>
      <c r="C54" s="1" t="s">
        <v>38</v>
      </c>
      <c r="D54" s="1">
        <v>284.86663818359398</v>
      </c>
      <c r="E54" s="1">
        <v>63.441818237304702</v>
      </c>
      <c r="F54" s="1">
        <v>50.640960693359403</v>
      </c>
      <c r="G54" s="1">
        <v>50.640960693359403</v>
      </c>
      <c r="H54" s="3">
        <f t="shared" si="4"/>
        <v>0.22270708371408879</v>
      </c>
      <c r="I54" s="4">
        <f t="shared" si="5"/>
        <v>0.20177318209991355</v>
      </c>
      <c r="J54" s="3">
        <v>0</v>
      </c>
      <c r="K54" s="8">
        <v>-0.699400573968887</v>
      </c>
      <c r="L54" s="8">
        <v>0.1535</v>
      </c>
      <c r="M54" s="8">
        <v>0.33202011386553398</v>
      </c>
      <c r="N54" s="8">
        <v>0.66</v>
      </c>
      <c r="O54" s="8">
        <v>0.14500000000000002</v>
      </c>
      <c r="P54" s="8">
        <f t="shared" si="6"/>
        <v>0.37900670462184466</v>
      </c>
      <c r="Q54" s="11">
        <v>2</v>
      </c>
    </row>
    <row r="55" spans="1:17" x14ac:dyDescent="0.15">
      <c r="A55" s="1" t="s">
        <v>9</v>
      </c>
      <c r="B55" s="1">
        <v>91</v>
      </c>
      <c r="C55" s="1" t="s">
        <v>38</v>
      </c>
      <c r="D55" s="1">
        <v>212.62838745117199</v>
      </c>
      <c r="E55" s="1">
        <v>69.436302185058594</v>
      </c>
      <c r="F55" s="1">
        <v>0</v>
      </c>
      <c r="G55" s="1">
        <v>0</v>
      </c>
      <c r="H55" s="3">
        <f t="shared" si="4"/>
        <v>0.32656176824462801</v>
      </c>
      <c r="I55" s="4">
        <f t="shared" si="5"/>
        <v>1</v>
      </c>
      <c r="J55" s="3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f t="shared" si="6"/>
        <v>0</v>
      </c>
      <c r="Q55" s="11">
        <v>2</v>
      </c>
    </row>
    <row r="56" spans="1:17" x14ac:dyDescent="0.15">
      <c r="A56" s="1" t="s">
        <v>15</v>
      </c>
      <c r="B56" s="1">
        <v>92</v>
      </c>
      <c r="C56" s="1" t="s">
        <v>38</v>
      </c>
      <c r="D56" s="1">
        <v>277.46618652343801</v>
      </c>
      <c r="E56" s="1">
        <v>74.093902587890597</v>
      </c>
      <c r="F56" s="1">
        <v>2.6023144721984899</v>
      </c>
      <c r="G56" s="1">
        <v>2.6023144721984899</v>
      </c>
      <c r="H56" s="3">
        <f t="shared" si="4"/>
        <v>0.26703759299921676</v>
      </c>
      <c r="I56" s="4">
        <f t="shared" si="5"/>
        <v>0.96487815621384487</v>
      </c>
      <c r="J56" s="3">
        <v>0</v>
      </c>
      <c r="K56" s="8">
        <v>3.9859011173248202</v>
      </c>
      <c r="L56" s="8">
        <v>-9.0999999999999998E-2</v>
      </c>
      <c r="M56" s="8">
        <v>3.0203145345052</v>
      </c>
      <c r="N56" s="8">
        <v>2.39</v>
      </c>
      <c r="O56" s="8">
        <v>0.84450000000000003</v>
      </c>
      <c r="P56" s="8">
        <f t="shared" si="6"/>
        <v>2.0849381781684002</v>
      </c>
      <c r="Q56" s="11">
        <v>2</v>
      </c>
    </row>
    <row r="57" spans="1:17" x14ac:dyDescent="0.15">
      <c r="A57" s="1" t="s">
        <v>16</v>
      </c>
      <c r="B57" s="1">
        <v>93</v>
      </c>
      <c r="C57" s="1" t="s">
        <v>38</v>
      </c>
      <c r="D57" s="1">
        <v>297.51354980468801</v>
      </c>
      <c r="E57" s="1">
        <v>1.9286264181137101</v>
      </c>
      <c r="F57" s="1">
        <v>1.9286264181137101</v>
      </c>
      <c r="G57" s="1">
        <v>1.9286264181137101</v>
      </c>
      <c r="H57" s="5">
        <f t="shared" si="4"/>
        <v>6.4824826276981889E-3</v>
      </c>
      <c r="I57" s="3">
        <f t="shared" si="5"/>
        <v>0</v>
      </c>
      <c r="J57" s="3">
        <v>0</v>
      </c>
      <c r="K57" s="8">
        <v>1.7009118199348401</v>
      </c>
      <c r="L57" s="8">
        <v>1.3165</v>
      </c>
      <c r="M57" s="8">
        <v>0.80750232934951705</v>
      </c>
      <c r="N57" s="8">
        <v>0.41</v>
      </c>
      <c r="O57" s="8">
        <v>0.51800000000000002</v>
      </c>
      <c r="P57" s="8">
        <f t="shared" si="6"/>
        <v>0.57850077644983899</v>
      </c>
      <c r="Q57" s="11">
        <v>3</v>
      </c>
    </row>
    <row r="58" spans="1:17" x14ac:dyDescent="0.15">
      <c r="A58" s="1" t="s">
        <v>23</v>
      </c>
      <c r="B58" s="1">
        <v>94</v>
      </c>
      <c r="C58" s="1" t="s">
        <v>38</v>
      </c>
      <c r="D58" s="1">
        <v>277.06787109375</v>
      </c>
      <c r="E58" s="1">
        <v>102.92091369628901</v>
      </c>
      <c r="F58" s="1">
        <v>22.527873992919901</v>
      </c>
      <c r="G58" s="1">
        <v>22.527873992919901</v>
      </c>
      <c r="H58" s="3">
        <f t="shared" si="4"/>
        <v>0.37146462810718389</v>
      </c>
      <c r="I58" s="4">
        <f t="shared" si="5"/>
        <v>0.78111471047179237</v>
      </c>
      <c r="J58" s="3">
        <v>0</v>
      </c>
      <c r="K58" s="8">
        <v>0.23577106744050899</v>
      </c>
      <c r="L58" s="8">
        <v>8.4500000000000006E-2</v>
      </c>
      <c r="M58" s="8">
        <v>1.0514709055423701</v>
      </c>
      <c r="N58" s="8">
        <v>0.95</v>
      </c>
      <c r="O58" s="8">
        <v>0.94450000000000012</v>
      </c>
      <c r="P58" s="8">
        <f t="shared" si="6"/>
        <v>0.98199030184745684</v>
      </c>
      <c r="Q58" s="11">
        <v>5</v>
      </c>
    </row>
    <row r="59" spans="1:17" x14ac:dyDescent="0.15">
      <c r="A59" s="1" t="s">
        <v>9</v>
      </c>
      <c r="B59" s="1">
        <v>95</v>
      </c>
      <c r="C59" s="1" t="s">
        <v>38</v>
      </c>
      <c r="D59" s="1">
        <v>211.25157165527301</v>
      </c>
      <c r="E59" s="1">
        <v>65.329513549804702</v>
      </c>
      <c r="F59" s="1">
        <v>4.9086356163024902</v>
      </c>
      <c r="G59" s="1">
        <v>4.9086356163024902</v>
      </c>
      <c r="H59" s="3">
        <f t="shared" si="4"/>
        <v>0.30924983439371267</v>
      </c>
      <c r="I59" s="4">
        <f t="shared" si="5"/>
        <v>0.92486342925911524</v>
      </c>
      <c r="J59" s="3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f t="shared" si="6"/>
        <v>0</v>
      </c>
      <c r="Q59" s="11">
        <v>2</v>
      </c>
    </row>
    <row r="60" spans="1:17" x14ac:dyDescent="0.15">
      <c r="A60" s="1" t="s">
        <v>27</v>
      </c>
      <c r="B60" s="1">
        <v>96</v>
      </c>
      <c r="C60" s="1" t="s">
        <v>38</v>
      </c>
      <c r="D60" s="1">
        <v>233.14991760253901</v>
      </c>
      <c r="E60" s="1">
        <v>53.4209594726563</v>
      </c>
      <c r="F60" s="1">
        <v>0.25735923647880599</v>
      </c>
      <c r="G60" s="1">
        <v>0.25735923647880599</v>
      </c>
      <c r="H60" s="3">
        <f t="shared" si="4"/>
        <v>0.22912707849944591</v>
      </c>
      <c r="I60" s="4">
        <f t="shared" si="5"/>
        <v>0.99518242953665903</v>
      </c>
      <c r="J60" s="3">
        <v>0</v>
      </c>
      <c r="K60" s="8">
        <v>0.66946256160735995</v>
      </c>
      <c r="L60" s="8">
        <v>3.1E-2</v>
      </c>
      <c r="M60" s="8">
        <v>0.56122729678948702</v>
      </c>
      <c r="N60" s="8">
        <v>0.69500000000000006</v>
      </c>
      <c r="O60" s="8">
        <v>0.2555</v>
      </c>
      <c r="P60" s="8">
        <f t="shared" si="6"/>
        <v>0.50390909892982905</v>
      </c>
      <c r="Q60" s="11">
        <v>3</v>
      </c>
    </row>
    <row r="61" spans="1:17" x14ac:dyDescent="0.15">
      <c r="A61" s="1" t="s">
        <v>23</v>
      </c>
      <c r="B61" s="1">
        <v>97</v>
      </c>
      <c r="C61" s="1" t="s">
        <v>38</v>
      </c>
      <c r="D61" s="1">
        <v>286.48040771484398</v>
      </c>
      <c r="E61" s="1">
        <v>21.960939407348601</v>
      </c>
      <c r="F61" s="1">
        <v>7.6471190452575701</v>
      </c>
      <c r="G61" s="1">
        <v>7.6471190452575701</v>
      </c>
      <c r="H61" s="5">
        <f t="shared" si="4"/>
        <v>7.6657735803029217E-2</v>
      </c>
      <c r="I61" s="4">
        <f t="shared" si="5"/>
        <v>0.65178543124167632</v>
      </c>
      <c r="J61" s="3">
        <v>0</v>
      </c>
      <c r="K61" s="8">
        <v>1.1385149359703099</v>
      </c>
      <c r="L61" s="8">
        <v>-0.68149999999999999</v>
      </c>
      <c r="M61" s="8">
        <v>1.13689429809649</v>
      </c>
      <c r="N61" s="8">
        <v>1.03</v>
      </c>
      <c r="O61" s="8">
        <v>1.4710000000000001</v>
      </c>
      <c r="P61" s="8">
        <f t="shared" si="6"/>
        <v>1.2126314326988299</v>
      </c>
      <c r="Q61" s="11">
        <v>25</v>
      </c>
    </row>
    <row r="62" spans="1:17" x14ac:dyDescent="0.15">
      <c r="A62" s="1" t="s">
        <v>9</v>
      </c>
      <c r="B62" s="1">
        <v>98</v>
      </c>
      <c r="C62" s="1" t="s">
        <v>38</v>
      </c>
      <c r="D62" s="1">
        <v>201.43106079101599</v>
      </c>
      <c r="E62" s="1">
        <v>66.789894104003906</v>
      </c>
      <c r="F62" s="1">
        <v>36.1469535827637</v>
      </c>
      <c r="G62" s="1">
        <v>36.1469535827637</v>
      </c>
      <c r="H62" s="3">
        <f t="shared" si="4"/>
        <v>0.33157693675305711</v>
      </c>
      <c r="I62" s="4">
        <f t="shared" si="5"/>
        <v>0.45879606387043559</v>
      </c>
      <c r="J62" s="3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f t="shared" si="6"/>
        <v>0</v>
      </c>
      <c r="Q62" s="11">
        <v>2</v>
      </c>
    </row>
    <row r="63" spans="1:17" x14ac:dyDescent="0.15">
      <c r="A63" s="1" t="s">
        <v>22</v>
      </c>
      <c r="B63" s="1">
        <v>99</v>
      </c>
      <c r="C63" s="1" t="s">
        <v>38</v>
      </c>
      <c r="D63" s="1">
        <v>322.84173583984398</v>
      </c>
      <c r="E63" s="1">
        <v>89.976356506347699</v>
      </c>
      <c r="F63" s="1">
        <v>10.5382690429687</v>
      </c>
      <c r="G63" s="1">
        <v>10.5382690429687</v>
      </c>
      <c r="H63" s="3">
        <f t="shared" si="4"/>
        <v>0.27870112974173628</v>
      </c>
      <c r="I63" s="4">
        <f t="shared" si="5"/>
        <v>0.88287735298300007</v>
      </c>
      <c r="J63" s="3">
        <v>0</v>
      </c>
      <c r="K63" s="8">
        <v>1.4388712644577</v>
      </c>
      <c r="L63" s="8">
        <v>1.2935000000000001</v>
      </c>
      <c r="M63" s="8">
        <v>2.0841372410456298</v>
      </c>
      <c r="N63" s="8">
        <v>1.56</v>
      </c>
      <c r="O63" s="8">
        <v>1.1415</v>
      </c>
      <c r="P63" s="8">
        <f t="shared" si="6"/>
        <v>1.5952124136818766</v>
      </c>
      <c r="Q63" s="11">
        <v>3</v>
      </c>
    </row>
    <row r="64" spans="1:17" x14ac:dyDescent="0.15">
      <c r="A64" s="1" t="s">
        <v>15</v>
      </c>
      <c r="B64" s="1">
        <v>100</v>
      </c>
      <c r="C64" s="1" t="s">
        <v>38</v>
      </c>
      <c r="D64" s="1">
        <v>273.57369995117199</v>
      </c>
      <c r="E64" s="1">
        <v>67.627174377441406</v>
      </c>
      <c r="F64" s="1">
        <v>1.2076281309127801</v>
      </c>
      <c r="G64" s="1">
        <v>1.2076281309127801</v>
      </c>
      <c r="H64" s="3">
        <f t="shared" si="4"/>
        <v>0.24719910718578447</v>
      </c>
      <c r="I64" s="4">
        <f t="shared" si="5"/>
        <v>0.98214285689103675</v>
      </c>
      <c r="J64" s="3">
        <v>0</v>
      </c>
      <c r="K64" s="8">
        <v>1.9188343882560699</v>
      </c>
      <c r="L64" s="8">
        <v>1.208</v>
      </c>
      <c r="M64" s="8">
        <v>1.8378505110740599</v>
      </c>
      <c r="N64" s="8">
        <v>1.66</v>
      </c>
      <c r="O64" s="8">
        <v>1.1589999999999998</v>
      </c>
      <c r="P64" s="8">
        <f t="shared" si="6"/>
        <v>1.5522835036913534</v>
      </c>
      <c r="Q64" s="11">
        <v>4</v>
      </c>
    </row>
    <row r="65" spans="1:17" x14ac:dyDescent="0.15">
      <c r="A65" s="1" t="s">
        <v>19</v>
      </c>
      <c r="B65" s="1">
        <v>101</v>
      </c>
      <c r="C65" s="1" t="s">
        <v>38</v>
      </c>
      <c r="D65" s="1">
        <v>243.239181518555</v>
      </c>
      <c r="E65" s="1">
        <v>66.579376220703097</v>
      </c>
      <c r="F65" s="1">
        <v>7.0042428970336896</v>
      </c>
      <c r="G65" s="1">
        <v>7.0042428970336896</v>
      </c>
      <c r="H65" s="3">
        <f t="shared" ref="H65:H86" si="7">E65/D65</f>
        <v>0.27371978397988578</v>
      </c>
      <c r="I65" s="4">
        <f t="shared" ref="I65:I86" si="8">(E65-F65)/E65</f>
        <v>0.89479861040128372</v>
      </c>
      <c r="J65" s="3">
        <v>0</v>
      </c>
      <c r="K65" s="8">
        <v>0.29558858275413402</v>
      </c>
      <c r="L65" s="8">
        <v>0.67</v>
      </c>
      <c r="M65" s="8">
        <v>1.9680229028066001</v>
      </c>
      <c r="N65" s="8">
        <v>0.94</v>
      </c>
      <c r="O65" s="8">
        <v>0.67900000000000005</v>
      </c>
      <c r="P65" s="8">
        <f t="shared" ref="P65:P96" si="9">AVERAGE(M65:O65)</f>
        <v>1.1956743009355335</v>
      </c>
      <c r="Q65" s="11">
        <v>4</v>
      </c>
    </row>
    <row r="66" spans="1:17" x14ac:dyDescent="0.15">
      <c r="A66" s="1" t="s">
        <v>14</v>
      </c>
      <c r="B66" s="1">
        <v>102</v>
      </c>
      <c r="C66" s="1" t="s">
        <v>38</v>
      </c>
      <c r="D66" s="1">
        <v>184.24240112304699</v>
      </c>
      <c r="E66" s="1">
        <v>18.4289646148682</v>
      </c>
      <c r="F66" s="1">
        <v>18.4289646148682</v>
      </c>
      <c r="G66" s="1">
        <v>18.4289646148682</v>
      </c>
      <c r="H66" s="5">
        <f t="shared" si="7"/>
        <v>0.10002564286252623</v>
      </c>
      <c r="I66" s="3">
        <f t="shared" si="8"/>
        <v>0</v>
      </c>
      <c r="J66" s="3">
        <v>0</v>
      </c>
      <c r="K66" s="8">
        <v>-0.86129134893417303</v>
      </c>
      <c r="L66" s="8">
        <v>0.53400000000000003</v>
      </c>
      <c r="M66" s="8">
        <v>0.33657223234574002</v>
      </c>
      <c r="N66" s="8">
        <v>0.39</v>
      </c>
      <c r="O66" s="8">
        <v>0.29499999999999998</v>
      </c>
      <c r="P66" s="8">
        <f t="shared" si="9"/>
        <v>0.34052407744857999</v>
      </c>
      <c r="Q66" s="11">
        <v>4</v>
      </c>
    </row>
    <row r="67" spans="1:17" x14ac:dyDescent="0.15">
      <c r="A67" s="1" t="s">
        <v>15</v>
      </c>
      <c r="B67" s="1">
        <v>103</v>
      </c>
      <c r="C67" s="1" t="s">
        <v>38</v>
      </c>
      <c r="D67" s="1">
        <v>269.71798706054699</v>
      </c>
      <c r="E67" s="1">
        <v>13.5254354476929</v>
      </c>
      <c r="F67" s="1">
        <v>4.5889868736267099</v>
      </c>
      <c r="G67" s="1">
        <v>4.5889868736267099</v>
      </c>
      <c r="H67" s="5">
        <f t="shared" si="7"/>
        <v>5.014658308515655E-2</v>
      </c>
      <c r="I67" s="4">
        <f t="shared" si="8"/>
        <v>0.66071429704620155</v>
      </c>
      <c r="J67" s="3">
        <v>0</v>
      </c>
      <c r="K67" s="8">
        <v>2.1735532283782901</v>
      </c>
      <c r="L67" s="8">
        <v>0.99099999999999999</v>
      </c>
      <c r="M67" s="8">
        <v>1.7409630864858601</v>
      </c>
      <c r="N67" s="8">
        <v>1.0900000000000001</v>
      </c>
      <c r="O67" s="8">
        <v>0.95399999999999996</v>
      </c>
      <c r="P67" s="8">
        <f t="shared" si="9"/>
        <v>1.2616543621619531</v>
      </c>
      <c r="Q67" s="11">
        <v>2</v>
      </c>
    </row>
    <row r="68" spans="1:17" x14ac:dyDescent="0.15">
      <c r="A68" s="1" t="s">
        <v>17</v>
      </c>
      <c r="B68" s="1">
        <v>104</v>
      </c>
      <c r="C68" s="1" t="s">
        <v>38</v>
      </c>
      <c r="D68" s="1">
        <v>320.09112548828102</v>
      </c>
      <c r="E68" s="1">
        <v>92.446273803710895</v>
      </c>
      <c r="F68" s="1">
        <v>4.10593557357788</v>
      </c>
      <c r="G68" s="1">
        <v>4.10593557357788</v>
      </c>
      <c r="H68" s="3">
        <f t="shared" si="7"/>
        <v>0.28881236136331273</v>
      </c>
      <c r="I68" s="4">
        <f t="shared" si="8"/>
        <v>0.9555857104387363</v>
      </c>
      <c r="J68" s="3">
        <v>0</v>
      </c>
      <c r="K68" s="8">
        <v>0.207177728414535</v>
      </c>
      <c r="L68" s="8">
        <v>0.63200000000000001</v>
      </c>
      <c r="M68" s="8">
        <v>1.9810442328453099</v>
      </c>
      <c r="N68" s="8">
        <v>1.99</v>
      </c>
      <c r="O68" s="8">
        <v>1.603</v>
      </c>
      <c r="P68" s="8">
        <f t="shared" si="9"/>
        <v>1.85801474428177</v>
      </c>
      <c r="Q68" s="11">
        <v>3</v>
      </c>
    </row>
    <row r="69" spans="1:17" x14ac:dyDescent="0.15">
      <c r="A69" s="1" t="s">
        <v>23</v>
      </c>
      <c r="B69" s="1">
        <v>105</v>
      </c>
      <c r="C69" s="1" t="s">
        <v>38</v>
      </c>
      <c r="D69" s="1">
        <v>284.98391723632801</v>
      </c>
      <c r="E69" s="1">
        <v>108.718376159668</v>
      </c>
      <c r="F69" s="1">
        <v>72.520889282226605</v>
      </c>
      <c r="G69" s="1">
        <v>72.520889282226605</v>
      </c>
      <c r="H69" s="3">
        <f t="shared" si="7"/>
        <v>0.38148951426445354</v>
      </c>
      <c r="I69" s="4">
        <f t="shared" si="8"/>
        <v>0.3329472730928244</v>
      </c>
      <c r="J69" s="3">
        <v>0</v>
      </c>
      <c r="K69" s="8">
        <v>-2.2565968334674801E-2</v>
      </c>
      <c r="L69" s="8">
        <v>0.24049999999999999</v>
      </c>
      <c r="M69" s="8">
        <v>1.22876185178756</v>
      </c>
      <c r="N69" s="8">
        <v>0.91500000000000004</v>
      </c>
      <c r="O69" s="8">
        <v>0.67700000000000005</v>
      </c>
      <c r="P69" s="8">
        <f t="shared" si="9"/>
        <v>0.94025395059585337</v>
      </c>
      <c r="Q69" s="11">
        <v>26</v>
      </c>
    </row>
    <row r="70" spans="1:17" x14ac:dyDescent="0.15">
      <c r="A70" s="1" t="s">
        <v>25</v>
      </c>
      <c r="B70" s="1">
        <v>106</v>
      </c>
      <c r="C70" s="1" t="s">
        <v>38</v>
      </c>
      <c r="D70" s="1">
        <v>259.896728515625</v>
      </c>
      <c r="E70" s="1">
        <v>49.7264404296875</v>
      </c>
      <c r="F70" s="1">
        <v>22.5006427764893</v>
      </c>
      <c r="G70" s="1">
        <v>22.5006427764893</v>
      </c>
      <c r="H70" s="5">
        <f t="shared" si="7"/>
        <v>0.19133153662108504</v>
      </c>
      <c r="I70" s="4">
        <f t="shared" si="8"/>
        <v>0.54751149324060511</v>
      </c>
      <c r="J70" s="3">
        <v>0</v>
      </c>
      <c r="K70" s="8">
        <v>1.11546766757965</v>
      </c>
      <c r="L70" s="8">
        <v>0.91800000000000004</v>
      </c>
      <c r="M70" s="8">
        <v>2.5233722130457501</v>
      </c>
      <c r="N70" s="8">
        <v>0.99</v>
      </c>
      <c r="O70" s="8">
        <v>1.377</v>
      </c>
      <c r="P70" s="8">
        <f t="shared" si="9"/>
        <v>1.63012407101525</v>
      </c>
      <c r="Q70" s="11">
        <v>9</v>
      </c>
    </row>
    <row r="71" spans="1:17" x14ac:dyDescent="0.15">
      <c r="A71" s="1" t="s">
        <v>11</v>
      </c>
      <c r="B71" s="1">
        <v>107</v>
      </c>
      <c r="C71" s="1" t="s">
        <v>38</v>
      </c>
      <c r="D71" s="1">
        <v>240.08529663085901</v>
      </c>
      <c r="E71" s="1">
        <v>0</v>
      </c>
      <c r="F71" s="1">
        <v>0</v>
      </c>
      <c r="G71" s="1">
        <v>0</v>
      </c>
      <c r="H71" s="5">
        <f t="shared" si="7"/>
        <v>0</v>
      </c>
      <c r="I71" s="3">
        <v>0</v>
      </c>
      <c r="J71" s="3">
        <v>0</v>
      </c>
      <c r="K71" s="8">
        <v>-2.0535103082656798</v>
      </c>
      <c r="L71" s="8">
        <v>0.67049999999999998</v>
      </c>
      <c r="M71" s="8">
        <v>0.53953276574611697</v>
      </c>
      <c r="N71" s="8">
        <v>0.41</v>
      </c>
      <c r="O71" s="8">
        <v>1.0939999999999999</v>
      </c>
      <c r="P71" s="8">
        <f t="shared" si="9"/>
        <v>0.68117758858203903</v>
      </c>
      <c r="Q71" s="11">
        <v>1</v>
      </c>
    </row>
    <row r="72" spans="1:17" x14ac:dyDescent="0.15">
      <c r="A72" s="1" t="s">
        <v>21</v>
      </c>
      <c r="B72" s="1">
        <v>108</v>
      </c>
      <c r="C72" s="1" t="s">
        <v>38</v>
      </c>
      <c r="D72" s="1">
        <v>256.18035888671898</v>
      </c>
      <c r="E72" s="1">
        <v>69.085823059082003</v>
      </c>
      <c r="F72" s="1">
        <v>4.8345966339111301</v>
      </c>
      <c r="G72" s="1">
        <v>4.8345966339111301</v>
      </c>
      <c r="H72" s="3">
        <f t="shared" si="7"/>
        <v>0.26967650197426429</v>
      </c>
      <c r="I72" s="4">
        <v>0</v>
      </c>
      <c r="J72" s="3">
        <v>0</v>
      </c>
      <c r="K72" s="8">
        <v>-0.48105651140213002</v>
      </c>
      <c r="L72" s="8">
        <v>0.90949999999999998</v>
      </c>
      <c r="M72" s="8">
        <v>1.2412577072779301</v>
      </c>
      <c r="N72" s="8">
        <v>0.51</v>
      </c>
      <c r="O72" s="8">
        <v>1.3045</v>
      </c>
      <c r="P72" s="8">
        <f t="shared" si="9"/>
        <v>1.0185859024259767</v>
      </c>
      <c r="Q72" s="11">
        <v>4</v>
      </c>
    </row>
    <row r="73" spans="1:17" x14ac:dyDescent="0.15">
      <c r="A73" s="1" t="s">
        <v>15</v>
      </c>
      <c r="B73" s="1">
        <v>109</v>
      </c>
      <c r="C73" s="1" t="s">
        <v>38</v>
      </c>
      <c r="D73" s="1">
        <v>276.609375</v>
      </c>
      <c r="E73" s="1">
        <v>120.132858276367</v>
      </c>
      <c r="F73" s="1">
        <v>23.206537246704102</v>
      </c>
      <c r="G73" s="1">
        <v>23.206537246704102</v>
      </c>
      <c r="H73" s="3">
        <f t="shared" si="7"/>
        <v>0.43430508556106245</v>
      </c>
      <c r="I73" s="4">
        <v>0</v>
      </c>
      <c r="J73" s="3">
        <v>0</v>
      </c>
      <c r="K73" s="8">
        <v>0.120279185473918</v>
      </c>
      <c r="L73" s="8">
        <v>0.34499999999999997</v>
      </c>
      <c r="M73" s="8">
        <v>0.87032819787661198</v>
      </c>
      <c r="N73" s="8">
        <v>1.1400000000000001</v>
      </c>
      <c r="O73" s="8">
        <v>0.74299999999999999</v>
      </c>
      <c r="P73" s="8">
        <f t="shared" si="9"/>
        <v>0.91777606595887073</v>
      </c>
      <c r="Q73" s="11">
        <v>1</v>
      </c>
    </row>
    <row r="74" spans="1:17" x14ac:dyDescent="0.15">
      <c r="A74" s="1" t="s">
        <v>27</v>
      </c>
      <c r="B74" s="1">
        <v>110</v>
      </c>
      <c r="C74" s="1" t="s">
        <v>38</v>
      </c>
      <c r="D74" s="1">
        <v>247.183670043945</v>
      </c>
      <c r="E74" s="1">
        <v>26.454418182373001</v>
      </c>
      <c r="F74" s="1">
        <v>0</v>
      </c>
      <c r="G74" s="1">
        <v>0</v>
      </c>
      <c r="H74" s="5">
        <f t="shared" si="7"/>
        <v>0.1070233247110129</v>
      </c>
      <c r="I74" s="4">
        <v>0</v>
      </c>
      <c r="J74" s="3">
        <v>0</v>
      </c>
      <c r="K74" s="8">
        <v>1.5246111154556199</v>
      </c>
      <c r="L74" s="8">
        <v>1.9670000000000001</v>
      </c>
      <c r="M74" s="8">
        <v>0.63258451968431495</v>
      </c>
      <c r="N74" s="8">
        <v>0.875</v>
      </c>
      <c r="O74" s="8">
        <v>0.4945</v>
      </c>
      <c r="P74" s="8">
        <f t="shared" si="9"/>
        <v>0.66736150656143833</v>
      </c>
      <c r="Q74" s="11">
        <v>0</v>
      </c>
    </row>
    <row r="75" spans="1:17" x14ac:dyDescent="0.15">
      <c r="A75" s="1" t="s">
        <v>9</v>
      </c>
      <c r="B75" s="1">
        <v>111</v>
      </c>
      <c r="C75" s="1" t="s">
        <v>38</v>
      </c>
      <c r="D75" s="1">
        <v>214.49200439453099</v>
      </c>
      <c r="E75" s="1">
        <v>0</v>
      </c>
      <c r="F75" s="1">
        <v>0</v>
      </c>
      <c r="G75" s="1">
        <v>0</v>
      </c>
      <c r="H75" s="5">
        <f t="shared" si="7"/>
        <v>0</v>
      </c>
      <c r="I75" s="3">
        <v>0</v>
      </c>
      <c r="J75" s="3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f t="shared" si="9"/>
        <v>0</v>
      </c>
      <c r="Q75" s="11">
        <v>7</v>
      </c>
    </row>
    <row r="76" spans="1:17" x14ac:dyDescent="0.15">
      <c r="A76" s="1" t="s">
        <v>24</v>
      </c>
      <c r="B76" s="1">
        <v>112</v>
      </c>
      <c r="C76" s="1" t="s">
        <v>38</v>
      </c>
      <c r="D76" s="1">
        <v>265.01361083984398</v>
      </c>
      <c r="E76" s="1">
        <v>93.772171020507798</v>
      </c>
      <c r="F76" s="1">
        <v>38.704330444335902</v>
      </c>
      <c r="G76" s="1">
        <v>38.704330444335902</v>
      </c>
      <c r="H76" s="3">
        <f t="shared" si="7"/>
        <v>0.35383907537178255</v>
      </c>
      <c r="I76" s="4">
        <f t="shared" si="8"/>
        <v>0.58725141987091956</v>
      </c>
      <c r="J76" s="3">
        <v>0</v>
      </c>
      <c r="K76" s="8">
        <v>0.137113861739635</v>
      </c>
      <c r="L76" s="8">
        <v>-8.0000000000000002E-3</v>
      </c>
      <c r="M76" s="8">
        <v>1.15152333180109</v>
      </c>
      <c r="N76" s="8">
        <v>0.83</v>
      </c>
      <c r="O76" s="8">
        <v>0.33899999999999997</v>
      </c>
      <c r="P76" s="8">
        <f t="shared" si="9"/>
        <v>0.77350777726702991</v>
      </c>
      <c r="Q76" s="11">
        <v>4</v>
      </c>
    </row>
    <row r="77" spans="1:17" x14ac:dyDescent="0.15">
      <c r="A77" s="1" t="s">
        <v>20</v>
      </c>
      <c r="B77" s="1">
        <v>113</v>
      </c>
      <c r="C77" s="1" t="s">
        <v>38</v>
      </c>
      <c r="D77" s="1">
        <v>288.42761230468801</v>
      </c>
      <c r="E77" s="1">
        <v>163.29034423828099</v>
      </c>
      <c r="F77" s="1">
        <v>28.7914028167725</v>
      </c>
      <c r="G77" s="1">
        <v>28.7914028167725</v>
      </c>
      <c r="H77" s="3">
        <f t="shared" si="7"/>
        <v>0.5661397774419219</v>
      </c>
      <c r="I77" s="4">
        <f t="shared" si="8"/>
        <v>0.82367969795716323</v>
      </c>
      <c r="J77" s="3">
        <v>0</v>
      </c>
      <c r="K77" s="8">
        <v>7.2271239012479796E-2</v>
      </c>
      <c r="L77" s="8">
        <v>1.9179999999999999</v>
      </c>
      <c r="M77" s="8">
        <v>1.32566865285237</v>
      </c>
      <c r="N77" s="8">
        <v>0.94500000000000006</v>
      </c>
      <c r="O77" s="8">
        <v>0.73199999999999998</v>
      </c>
      <c r="P77" s="8">
        <f t="shared" si="9"/>
        <v>1.00088955095079</v>
      </c>
      <c r="Q77" s="11">
        <v>4</v>
      </c>
    </row>
    <row r="78" spans="1:17" x14ac:dyDescent="0.15">
      <c r="A78" s="1" t="s">
        <v>9</v>
      </c>
      <c r="B78" s="1">
        <v>114</v>
      </c>
      <c r="C78" s="1" t="s">
        <v>38</v>
      </c>
      <c r="D78" s="1">
        <v>201.33676147460901</v>
      </c>
      <c r="E78" s="1">
        <v>47.252349853515597</v>
      </c>
      <c r="F78" s="1">
        <v>18.7286682128906</v>
      </c>
      <c r="G78" s="1">
        <v>18.7286682128906</v>
      </c>
      <c r="H78" s="3">
        <f t="shared" si="7"/>
        <v>0.23469310575691707</v>
      </c>
      <c r="I78" s="4">
        <f t="shared" si="8"/>
        <v>0.60364578119500278</v>
      </c>
      <c r="J78" s="3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f t="shared" si="9"/>
        <v>0</v>
      </c>
      <c r="Q78" s="11">
        <v>5</v>
      </c>
    </row>
    <row r="79" spans="1:17" x14ac:dyDescent="0.15">
      <c r="A79" s="1" t="s">
        <v>10</v>
      </c>
      <c r="B79" s="1">
        <v>115</v>
      </c>
      <c r="C79" s="1" t="s">
        <v>42</v>
      </c>
      <c r="D79" s="1">
        <v>300.43701171875</v>
      </c>
      <c r="E79" s="1">
        <v>180.15524291992199</v>
      </c>
      <c r="F79" s="1">
        <v>175.32472229003901</v>
      </c>
      <c r="G79" s="1">
        <v>135.85189819335901</v>
      </c>
      <c r="H79" s="3">
        <f t="shared" si="7"/>
        <v>0.59964397159086325</v>
      </c>
      <c r="I79" s="4">
        <f t="shared" si="8"/>
        <v>2.6813100477070893E-2</v>
      </c>
      <c r="J79" s="6">
        <v>0</v>
      </c>
      <c r="K79" s="8">
        <v>0.54906952381134</v>
      </c>
      <c r="L79" s="8">
        <v>1.5165</v>
      </c>
      <c r="M79" s="8">
        <v>0.30094033728043101</v>
      </c>
      <c r="N79" s="8">
        <v>0.76</v>
      </c>
      <c r="O79" s="8">
        <v>-2.4999999999999998E-2</v>
      </c>
      <c r="P79" s="8">
        <f t="shared" si="9"/>
        <v>0.34531344576014372</v>
      </c>
      <c r="Q79" s="11">
        <v>1</v>
      </c>
    </row>
    <row r="80" spans="1:17" x14ac:dyDescent="0.15">
      <c r="A80" s="1" t="s">
        <v>12</v>
      </c>
      <c r="B80" s="1">
        <v>116</v>
      </c>
      <c r="C80" s="1" t="s">
        <v>42</v>
      </c>
      <c r="D80" s="1">
        <v>325.15872192382801</v>
      </c>
      <c r="E80" s="1">
        <v>49.591209411621101</v>
      </c>
      <c r="F80" s="1">
        <v>47.225147247314503</v>
      </c>
      <c r="G80" s="1">
        <v>17.171291351318398</v>
      </c>
      <c r="H80" s="5">
        <f t="shared" si="7"/>
        <v>0.1525138526754278</v>
      </c>
      <c r="I80" s="4">
        <f t="shared" si="8"/>
        <v>4.7711322074596149E-2</v>
      </c>
      <c r="J80" s="6">
        <v>0</v>
      </c>
      <c r="K80" s="8">
        <v>1.95477026700973</v>
      </c>
      <c r="L80" s="8">
        <v>2.423</v>
      </c>
      <c r="M80" s="8">
        <v>0.55418627709150203</v>
      </c>
      <c r="N80" s="8">
        <v>1.0550000000000002</v>
      </c>
      <c r="O80" s="8">
        <v>2.0640000000000001</v>
      </c>
      <c r="P80" s="8">
        <f t="shared" si="9"/>
        <v>1.2243954256971674</v>
      </c>
      <c r="Q80" s="11">
        <v>7</v>
      </c>
    </row>
    <row r="81" spans="1:17" x14ac:dyDescent="0.15">
      <c r="A81" s="1" t="s">
        <v>19</v>
      </c>
      <c r="B81" s="1">
        <v>117</v>
      </c>
      <c r="C81" s="1" t="s">
        <v>41</v>
      </c>
      <c r="D81" s="1">
        <v>247.48793029785199</v>
      </c>
      <c r="E81" s="1">
        <v>122.12921142578099</v>
      </c>
      <c r="F81" s="1">
        <v>42.672248840332003</v>
      </c>
      <c r="G81" s="1">
        <v>27.775447845458999</v>
      </c>
      <c r="H81" s="3">
        <f t="shared" si="7"/>
        <v>0.49347542435220321</v>
      </c>
      <c r="I81" s="4">
        <f t="shared" si="8"/>
        <v>0.65059752419457562</v>
      </c>
      <c r="J81" s="6">
        <v>0</v>
      </c>
      <c r="K81" s="8">
        <v>0.470056593418121</v>
      </c>
      <c r="L81" s="8">
        <v>1.5669999999999999</v>
      </c>
      <c r="M81" s="8">
        <v>7.8208329776922797E-2</v>
      </c>
      <c r="N81" s="8">
        <v>0.77</v>
      </c>
      <c r="O81" s="8">
        <v>0.32850000000000001</v>
      </c>
      <c r="P81" s="8">
        <f t="shared" si="9"/>
        <v>0.3922361099256409</v>
      </c>
      <c r="Q81" s="11">
        <v>3</v>
      </c>
    </row>
    <row r="82" spans="1:17" x14ac:dyDescent="0.15">
      <c r="A82" s="1" t="s">
        <v>11</v>
      </c>
      <c r="B82" s="1">
        <v>118</v>
      </c>
      <c r="C82" s="1" t="s">
        <v>43</v>
      </c>
      <c r="D82" s="1">
        <v>243.16130065918</v>
      </c>
      <c r="E82" s="1">
        <v>79.339469909667997</v>
      </c>
      <c r="F82" s="1">
        <v>20.375616073608398</v>
      </c>
      <c r="G82" s="1">
        <v>1.69067943096161</v>
      </c>
      <c r="H82" s="3">
        <f t="shared" si="7"/>
        <v>0.32628329300175879</v>
      </c>
      <c r="I82" s="4">
        <f t="shared" si="8"/>
        <v>0.74318436842586588</v>
      </c>
      <c r="J82" s="6">
        <v>0</v>
      </c>
      <c r="K82" s="8">
        <v>1.2528542280197099</v>
      </c>
      <c r="L82" s="8">
        <v>2.294</v>
      </c>
      <c r="M82" s="8">
        <v>0.15382460008064799</v>
      </c>
      <c r="N82" s="8">
        <v>0.745</v>
      </c>
      <c r="O82" s="8">
        <v>0.65450000000000008</v>
      </c>
      <c r="P82" s="8">
        <f t="shared" si="9"/>
        <v>0.51777486669354944</v>
      </c>
      <c r="Q82" s="11">
        <v>2</v>
      </c>
    </row>
    <row r="83" spans="1:17" x14ac:dyDescent="0.15">
      <c r="A83" s="1" t="s">
        <v>24</v>
      </c>
      <c r="B83" s="1">
        <v>119</v>
      </c>
      <c r="C83" s="1" t="s">
        <v>43</v>
      </c>
      <c r="D83" s="1">
        <v>275.82864379882801</v>
      </c>
      <c r="E83" s="1">
        <v>71.824127197265597</v>
      </c>
      <c r="F83" s="1">
        <v>0</v>
      </c>
      <c r="G83" s="1">
        <v>0</v>
      </c>
      <c r="H83" s="3">
        <f t="shared" si="7"/>
        <v>0.26039401205064683</v>
      </c>
      <c r="I83" s="4">
        <f t="shared" si="8"/>
        <v>1</v>
      </c>
      <c r="J83" s="3">
        <v>0</v>
      </c>
      <c r="K83" s="8">
        <v>2.4264165163040099</v>
      </c>
      <c r="L83" s="8">
        <v>1.2115</v>
      </c>
      <c r="M83" s="8">
        <v>0.91792650024096201</v>
      </c>
      <c r="N83" s="8">
        <v>1.48</v>
      </c>
      <c r="O83" s="8">
        <v>2.2875000000000001</v>
      </c>
      <c r="P83" s="8">
        <f t="shared" si="9"/>
        <v>1.561808833413654</v>
      </c>
      <c r="Q83" s="11">
        <v>4</v>
      </c>
    </row>
    <row r="84" spans="1:17" x14ac:dyDescent="0.15">
      <c r="A84" s="1" t="s">
        <v>26</v>
      </c>
      <c r="B84" s="1">
        <v>120</v>
      </c>
      <c r="C84" s="1" t="s">
        <v>44</v>
      </c>
      <c r="D84" s="1">
        <v>303.961669921875</v>
      </c>
      <c r="E84" s="1">
        <v>76.306015014648395</v>
      </c>
      <c r="F84" s="1">
        <v>64.712783813476605</v>
      </c>
      <c r="G84" s="1">
        <v>26.896305084228501</v>
      </c>
      <c r="H84" s="3">
        <f t="shared" si="7"/>
        <v>0.25103828069592049</v>
      </c>
      <c r="I84" s="4">
        <f t="shared" si="8"/>
        <v>0.15193076455304669</v>
      </c>
      <c r="J84" s="6">
        <v>0</v>
      </c>
      <c r="K84" s="8">
        <v>1.1800425648689301</v>
      </c>
      <c r="L84" s="8">
        <v>0.91800000000000004</v>
      </c>
      <c r="M84" s="8">
        <v>6.9782947810987594E-2</v>
      </c>
      <c r="N84" s="8">
        <v>1.01</v>
      </c>
      <c r="O84" s="8">
        <v>0.35950000000000004</v>
      </c>
      <c r="P84" s="8">
        <f t="shared" si="9"/>
        <v>0.47976098260366262</v>
      </c>
      <c r="Q84" s="11">
        <v>2</v>
      </c>
    </row>
    <row r="85" spans="1:17" x14ac:dyDescent="0.15">
      <c r="A85" s="1" t="s">
        <v>18</v>
      </c>
      <c r="B85" s="1">
        <v>121</v>
      </c>
      <c r="C85" s="1" t="s">
        <v>44</v>
      </c>
      <c r="D85" s="1">
        <v>240.22512817382801</v>
      </c>
      <c r="E85" s="1">
        <v>77.397987365722699</v>
      </c>
      <c r="F85" s="1">
        <v>23.186460494995099</v>
      </c>
      <c r="G85" s="1">
        <v>23.186460494995099</v>
      </c>
      <c r="H85" s="3">
        <f t="shared" si="7"/>
        <v>0.32218938940358127</v>
      </c>
      <c r="I85" s="4">
        <f t="shared" si="8"/>
        <v>0.70042553709524868</v>
      </c>
      <c r="J85" s="3">
        <v>0</v>
      </c>
      <c r="K85" s="8">
        <v>-0.354555264115333</v>
      </c>
      <c r="L85" s="8">
        <v>0.52249999999999996</v>
      </c>
      <c r="M85" s="8">
        <v>0.35855579624573403</v>
      </c>
      <c r="N85" s="8">
        <v>0.72</v>
      </c>
      <c r="O85" s="8">
        <v>0.317</v>
      </c>
      <c r="P85" s="8">
        <f t="shared" si="9"/>
        <v>0.46518526541524463</v>
      </c>
      <c r="Q85" s="11">
        <v>5</v>
      </c>
    </row>
    <row r="86" spans="1:17" x14ac:dyDescent="0.15">
      <c r="A86" s="1" t="s">
        <v>10</v>
      </c>
      <c r="B86" s="1">
        <v>122</v>
      </c>
      <c r="C86" s="1" t="s">
        <v>40</v>
      </c>
      <c r="D86" s="1">
        <v>295.462646484375</v>
      </c>
      <c r="E86" s="1">
        <v>110.835746765137</v>
      </c>
      <c r="F86" s="1">
        <v>87.680091857910199</v>
      </c>
      <c r="G86" s="1">
        <v>87.197044372558594</v>
      </c>
      <c r="H86" s="3">
        <f t="shared" si="7"/>
        <v>0.37512608813310128</v>
      </c>
      <c r="I86" s="4">
        <f t="shared" si="8"/>
        <v>0.20891865289899716</v>
      </c>
      <c r="J86" s="6">
        <v>0</v>
      </c>
      <c r="K86" s="8">
        <v>-0.44687941670417802</v>
      </c>
      <c r="L86" s="8">
        <v>1.546</v>
      </c>
      <c r="M86" s="8">
        <v>0.27586863189935701</v>
      </c>
      <c r="N86" s="8">
        <v>0.69</v>
      </c>
      <c r="O86" s="8">
        <v>-7.4500000000000011E-2</v>
      </c>
      <c r="P86" s="8">
        <f t="shared" si="9"/>
        <v>0.29712287729978565</v>
      </c>
      <c r="Q86" s="11">
        <v>2</v>
      </c>
    </row>
    <row r="87" spans="1:17" x14ac:dyDescent="0.15">
      <c r="A87" s="1" t="s">
        <v>25</v>
      </c>
      <c r="B87" s="1">
        <v>123</v>
      </c>
      <c r="C87" s="1" t="s">
        <v>40</v>
      </c>
      <c r="D87" s="1">
        <v>256.54550170898398</v>
      </c>
      <c r="E87" s="1">
        <v>4.0987782478332502</v>
      </c>
      <c r="F87" s="1">
        <v>0</v>
      </c>
      <c r="G87" s="1">
        <v>0</v>
      </c>
      <c r="H87" s="5">
        <f t="shared" ref="H87:H92" si="10">E87/D87</f>
        <v>1.597680809263519E-2</v>
      </c>
      <c r="I87" s="4">
        <f t="shared" ref="I87:I92" si="11">(E87-F87)/E87</f>
        <v>1</v>
      </c>
      <c r="J87" s="3">
        <v>0</v>
      </c>
      <c r="K87" s="8">
        <v>3.4231370687484701</v>
      </c>
      <c r="L87" s="8">
        <v>1.0934999999999999</v>
      </c>
      <c r="M87" s="8">
        <v>0.54554208119710301</v>
      </c>
      <c r="N87" s="8">
        <v>0.58499999999999996</v>
      </c>
      <c r="O87" s="8">
        <v>3.0644999999999998</v>
      </c>
      <c r="P87" s="8">
        <f t="shared" si="9"/>
        <v>1.3983473603990344</v>
      </c>
      <c r="Q87" s="11">
        <v>7</v>
      </c>
    </row>
    <row r="88" spans="1:17" x14ac:dyDescent="0.15">
      <c r="A88" s="1" t="s">
        <v>24</v>
      </c>
      <c r="B88" s="1">
        <v>124</v>
      </c>
      <c r="C88" s="1" t="s">
        <v>40</v>
      </c>
      <c r="D88" s="1">
        <v>277.30535888671898</v>
      </c>
      <c r="E88" s="1">
        <v>54.343265533447301</v>
      </c>
      <c r="F88" s="1">
        <v>3.6228842735290501</v>
      </c>
      <c r="G88" s="1">
        <v>3.6228842735290501</v>
      </c>
      <c r="H88" s="5">
        <f t="shared" si="10"/>
        <v>0.19596904203949003</v>
      </c>
      <c r="I88" s="4">
        <f t="shared" si="11"/>
        <v>0.93333333508824134</v>
      </c>
      <c r="J88" s="3">
        <v>0</v>
      </c>
      <c r="K88" s="8">
        <v>1.9699999690055801</v>
      </c>
      <c r="L88" s="8">
        <v>1.1419999999999999</v>
      </c>
      <c r="M88" s="8">
        <v>1.59613374869028</v>
      </c>
      <c r="N88" s="8">
        <v>0.94</v>
      </c>
      <c r="O88" s="8">
        <v>1.1355</v>
      </c>
      <c r="P88" s="8">
        <f t="shared" si="9"/>
        <v>1.2238779162300932</v>
      </c>
      <c r="Q88" s="11">
        <v>1</v>
      </c>
    </row>
    <row r="89" spans="1:17" x14ac:dyDescent="0.15">
      <c r="A89" s="1" t="s">
        <v>16</v>
      </c>
      <c r="B89" s="1">
        <v>125</v>
      </c>
      <c r="C89" s="1" t="s">
        <v>40</v>
      </c>
      <c r="D89" s="1">
        <v>298.13446044921898</v>
      </c>
      <c r="E89" s="1">
        <v>97.450141906738295</v>
      </c>
      <c r="F89" s="1">
        <v>77.929290771484403</v>
      </c>
      <c r="G89" s="1">
        <v>77.929290771484403</v>
      </c>
      <c r="H89" s="3">
        <f t="shared" si="10"/>
        <v>0.32686641376479492</v>
      </c>
      <c r="I89" s="4">
        <f t="shared" si="11"/>
        <v>0.20031629255025335</v>
      </c>
      <c r="J89" s="3">
        <v>0</v>
      </c>
      <c r="K89" s="8">
        <v>5.2151252515613998E-2</v>
      </c>
      <c r="L89" s="8">
        <v>0.36099999999999999</v>
      </c>
      <c r="M89" s="8">
        <v>-8.0118504663308401E-2</v>
      </c>
      <c r="N89" s="8">
        <v>0.56000000000000005</v>
      </c>
      <c r="O89" s="8">
        <v>0.32050000000000001</v>
      </c>
      <c r="P89" s="8">
        <f t="shared" si="9"/>
        <v>0.26679383177889721</v>
      </c>
      <c r="Q89" s="11">
        <v>4</v>
      </c>
    </row>
    <row r="90" spans="1:17" x14ac:dyDescent="0.15">
      <c r="A90" s="1" t="s">
        <v>15</v>
      </c>
      <c r="B90" s="1">
        <v>126</v>
      </c>
      <c r="C90" s="1" t="s">
        <v>40</v>
      </c>
      <c r="D90" s="1">
        <v>269.92105102539102</v>
      </c>
      <c r="E90" s="1">
        <v>80.336807250976605</v>
      </c>
      <c r="F90" s="1">
        <v>13.1926774978638</v>
      </c>
      <c r="G90" s="1">
        <v>13.1926774978638</v>
      </c>
      <c r="H90" s="3">
        <f t="shared" si="10"/>
        <v>0.29763075886741214</v>
      </c>
      <c r="I90" s="4">
        <f t="shared" si="11"/>
        <v>0.83578290015124512</v>
      </c>
      <c r="J90" s="3">
        <v>0</v>
      </c>
      <c r="K90" s="8">
        <v>2.32356333732604</v>
      </c>
      <c r="L90" s="8">
        <v>6.0000000000000001E-3</v>
      </c>
      <c r="M90" s="8">
        <v>1.9365094602107999</v>
      </c>
      <c r="N90" s="8">
        <v>1.125</v>
      </c>
      <c r="O90" s="8">
        <v>1.992</v>
      </c>
      <c r="P90" s="8">
        <f t="shared" si="9"/>
        <v>1.6845031534036001</v>
      </c>
      <c r="Q90" s="11">
        <v>7</v>
      </c>
    </row>
    <row r="91" spans="1:17" x14ac:dyDescent="0.15">
      <c r="A91" s="1" t="s">
        <v>9</v>
      </c>
      <c r="B91" s="1">
        <v>127</v>
      </c>
      <c r="C91" s="1" t="s">
        <v>40</v>
      </c>
      <c r="D91" s="1">
        <v>214.70611572265599</v>
      </c>
      <c r="E91" s="1">
        <v>5.5787448883056596</v>
      </c>
      <c r="F91" s="1">
        <v>0</v>
      </c>
      <c r="G91" s="1">
        <v>0</v>
      </c>
      <c r="H91" s="5">
        <f t="shared" si="10"/>
        <v>2.5983167128373442E-2</v>
      </c>
      <c r="I91" s="4">
        <f t="shared" si="11"/>
        <v>1</v>
      </c>
      <c r="J91" s="3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f t="shared" si="9"/>
        <v>0</v>
      </c>
      <c r="Q91" s="11">
        <v>8</v>
      </c>
    </row>
    <row r="92" spans="1:17" x14ac:dyDescent="0.15">
      <c r="A92" s="1" t="s">
        <v>12</v>
      </c>
      <c r="B92" s="1">
        <v>128</v>
      </c>
      <c r="C92" s="1" t="s">
        <v>40</v>
      </c>
      <c r="D92" s="1">
        <v>341.39608764648398</v>
      </c>
      <c r="E92" s="1">
        <v>65.538711547851605</v>
      </c>
      <c r="F92" s="1">
        <v>31.276626586914102</v>
      </c>
      <c r="G92" s="1">
        <v>31.276626586914102</v>
      </c>
      <c r="H92" s="5">
        <f t="shared" si="10"/>
        <v>0.19197264971506356</v>
      </c>
      <c r="I92" s="4">
        <f t="shared" si="11"/>
        <v>0.52277629742418441</v>
      </c>
      <c r="J92" s="3">
        <f t="shared" ref="J92" si="12">(F92-G92)/F92</f>
        <v>0</v>
      </c>
      <c r="K92" s="8">
        <v>-0.23408780246972999</v>
      </c>
      <c r="L92" s="8">
        <v>0.96050000000000002</v>
      </c>
      <c r="M92" s="8">
        <v>0.45961673557758298</v>
      </c>
      <c r="N92" s="8">
        <v>0.69</v>
      </c>
      <c r="O92" s="8">
        <v>0.79649999999999999</v>
      </c>
      <c r="P92" s="8">
        <f t="shared" si="9"/>
        <v>0.64870557852586097</v>
      </c>
      <c r="Q92" s="11">
        <v>7</v>
      </c>
    </row>
    <row r="93" spans="1:17" x14ac:dyDescent="0.15">
      <c r="A93" s="1" t="s">
        <v>12</v>
      </c>
      <c r="B93" s="1">
        <v>129</v>
      </c>
      <c r="C93" s="1" t="s">
        <v>40</v>
      </c>
      <c r="D93" s="1">
        <v>342.68780517578102</v>
      </c>
      <c r="E93" s="1">
        <v>137.62974548339801</v>
      </c>
      <c r="F93" s="1">
        <v>85.339706420898395</v>
      </c>
      <c r="G93" s="1">
        <v>85.339706420898395</v>
      </c>
      <c r="H93" s="3">
        <f t="shared" ref="H93:H99" si="13">E93/D93</f>
        <v>0.40161845097697918</v>
      </c>
      <c r="I93" s="4">
        <f t="shared" ref="I93:I99" si="14">(E93-F93)/E93</f>
        <v>0.37993268736232061</v>
      </c>
      <c r="J93" s="3">
        <f t="shared" ref="J93:J99" si="15">(F93-G93)/F93</f>
        <v>0</v>
      </c>
      <c r="K93" s="8">
        <v>1.4715748429298301</v>
      </c>
      <c r="L93" s="8">
        <v>0.56200000000000006</v>
      </c>
      <c r="M93" s="8">
        <v>1.0175380607446001</v>
      </c>
      <c r="N93" s="8">
        <v>0.77</v>
      </c>
      <c r="O93" s="8">
        <v>0.4995</v>
      </c>
      <c r="P93" s="8">
        <f t="shared" si="9"/>
        <v>0.76234602024819997</v>
      </c>
      <c r="Q93" s="11">
        <v>7</v>
      </c>
    </row>
    <row r="94" spans="1:17" x14ac:dyDescent="0.15">
      <c r="A94" s="1" t="s">
        <v>24</v>
      </c>
      <c r="B94" s="1">
        <v>130</v>
      </c>
      <c r="C94" s="1" t="s">
        <v>40</v>
      </c>
      <c r="D94" s="1">
        <v>269.32891845703102</v>
      </c>
      <c r="E94" s="1">
        <v>130.29203796386699</v>
      </c>
      <c r="F94" s="1">
        <v>9.4288406372070295</v>
      </c>
      <c r="G94" s="1">
        <v>9.4288406372070295</v>
      </c>
      <c r="H94" s="3">
        <f t="shared" si="13"/>
        <v>0.48376549651742612</v>
      </c>
      <c r="I94" s="4">
        <f t="shared" si="14"/>
        <v>0.92763302512911905</v>
      </c>
      <c r="J94" s="3">
        <f t="shared" si="15"/>
        <v>0</v>
      </c>
      <c r="K94" s="8">
        <v>2.1244044303893901</v>
      </c>
      <c r="L94" s="8">
        <v>0.38750000000000001</v>
      </c>
      <c r="M94" s="8">
        <v>1.46359491348266</v>
      </c>
      <c r="N94" s="8">
        <v>1.5</v>
      </c>
      <c r="O94" s="8">
        <v>1.1425000000000001</v>
      </c>
      <c r="P94" s="8">
        <f t="shared" si="9"/>
        <v>1.36869830449422</v>
      </c>
      <c r="Q94" s="11">
        <v>2</v>
      </c>
    </row>
    <row r="95" spans="1:17" x14ac:dyDescent="0.15">
      <c r="A95" s="1" t="s">
        <v>12</v>
      </c>
      <c r="B95" s="1">
        <v>131</v>
      </c>
      <c r="C95" s="1" t="s">
        <v>40</v>
      </c>
      <c r="D95" s="1">
        <v>338.42767333984398</v>
      </c>
      <c r="E95" s="1">
        <v>89.0457763671875</v>
      </c>
      <c r="F95" s="1">
        <v>64.046424865722699</v>
      </c>
      <c r="G95" s="1">
        <v>64.046424865722699</v>
      </c>
      <c r="H95" s="3">
        <f t="shared" si="13"/>
        <v>0.26311612016954972</v>
      </c>
      <c r="I95" s="4">
        <f t="shared" si="14"/>
        <v>0.28074719005624638</v>
      </c>
      <c r="J95" s="3">
        <f t="shared" si="15"/>
        <v>0</v>
      </c>
      <c r="K95" s="8">
        <v>1.6613202691078099</v>
      </c>
      <c r="L95" s="8">
        <v>1.694</v>
      </c>
      <c r="M95" s="8">
        <v>2.0110561649004501</v>
      </c>
      <c r="N95" s="8">
        <v>1.1200000000000001</v>
      </c>
      <c r="O95" s="8">
        <v>0.95850000000000002</v>
      </c>
      <c r="P95" s="8">
        <f t="shared" si="9"/>
        <v>1.3631853883001501</v>
      </c>
      <c r="Q95" s="11">
        <v>18</v>
      </c>
    </row>
    <row r="96" spans="1:17" x14ac:dyDescent="0.15">
      <c r="A96" s="1" t="s">
        <v>14</v>
      </c>
      <c r="B96" s="1">
        <v>132</v>
      </c>
      <c r="D96" s="1">
        <v>185.00254821777301</v>
      </c>
      <c r="E96" s="1">
        <v>57.516883850097699</v>
      </c>
      <c r="F96" s="1">
        <v>55.159675598144503</v>
      </c>
      <c r="G96" s="1">
        <v>55.159675598144503</v>
      </c>
      <c r="H96" s="3">
        <f t="shared" si="13"/>
        <v>0.31089779251252558</v>
      </c>
      <c r="I96" s="4">
        <f t="shared" si="14"/>
        <v>4.0982892225118209E-2</v>
      </c>
      <c r="J96" s="3">
        <f t="shared" si="15"/>
        <v>0</v>
      </c>
      <c r="K96" s="8">
        <v>-0.21321505494415799</v>
      </c>
      <c r="L96" s="8">
        <v>0.24099999999999999</v>
      </c>
      <c r="M96" s="8">
        <v>1.21276413400967</v>
      </c>
      <c r="N96" s="8">
        <v>0.34499999999999997</v>
      </c>
      <c r="O96" s="8">
        <v>0.23949999999999999</v>
      </c>
      <c r="P96" s="8">
        <f t="shared" si="9"/>
        <v>0.59908804466988996</v>
      </c>
      <c r="Q96" s="11">
        <v>2</v>
      </c>
    </row>
    <row r="97" spans="1:17" x14ac:dyDescent="0.15">
      <c r="A97" s="1" t="s">
        <v>23</v>
      </c>
      <c r="B97" s="1">
        <v>133</v>
      </c>
      <c r="D97" s="1">
        <v>290.30990600585898</v>
      </c>
      <c r="E97" s="1">
        <v>66.507797241210895</v>
      </c>
      <c r="F97" s="1">
        <v>66.507797241210895</v>
      </c>
      <c r="G97" s="1">
        <v>66.507797241210895</v>
      </c>
      <c r="H97" s="3">
        <f t="shared" si="13"/>
        <v>0.22909241422808579</v>
      </c>
      <c r="I97" s="3">
        <f t="shared" si="14"/>
        <v>0</v>
      </c>
      <c r="J97" s="3">
        <f t="shared" si="15"/>
        <v>0</v>
      </c>
      <c r="K97" s="8">
        <v>-0.12633101269602701</v>
      </c>
      <c r="L97" s="8">
        <v>0.92600000000000005</v>
      </c>
      <c r="M97" s="8">
        <v>1.0668478906154599</v>
      </c>
      <c r="N97" s="8">
        <v>0.45999999999999996</v>
      </c>
      <c r="O97" s="8">
        <v>0.72750000000000004</v>
      </c>
      <c r="P97" s="8">
        <f t="shared" ref="P97:P99" si="16">AVERAGE(M97:O97)</f>
        <v>0.75144929687181994</v>
      </c>
      <c r="Q97" s="11">
        <v>11</v>
      </c>
    </row>
    <row r="98" spans="1:17" x14ac:dyDescent="0.15">
      <c r="A98" s="1" t="s">
        <v>12</v>
      </c>
      <c r="B98" s="1">
        <v>134</v>
      </c>
      <c r="D98" s="1">
        <v>312.68417358398398</v>
      </c>
      <c r="E98" s="1">
        <v>115.84734344482401</v>
      </c>
      <c r="F98" s="1">
        <v>115.84734344482401</v>
      </c>
      <c r="G98" s="1">
        <v>115.84734344482401</v>
      </c>
      <c r="H98" s="3">
        <f t="shared" si="13"/>
        <v>0.37049314686120022</v>
      </c>
      <c r="I98" s="3">
        <f t="shared" si="14"/>
        <v>0</v>
      </c>
      <c r="J98" s="3">
        <f t="shared" si="15"/>
        <v>0</v>
      </c>
      <c r="K98" s="8">
        <v>0.34393276274204199</v>
      </c>
      <c r="L98" s="8">
        <v>1.91</v>
      </c>
      <c r="M98" s="8">
        <v>0.47862247750163101</v>
      </c>
      <c r="N98" s="8">
        <v>0.95</v>
      </c>
      <c r="O98" s="8">
        <v>0.157</v>
      </c>
      <c r="P98" s="8">
        <f t="shared" si="16"/>
        <v>0.52854082583387696</v>
      </c>
      <c r="Q98" s="11">
        <v>10</v>
      </c>
    </row>
    <row r="99" spans="1:17" x14ac:dyDescent="0.15">
      <c r="A99" s="1" t="s">
        <v>9</v>
      </c>
      <c r="B99" s="1">
        <v>135</v>
      </c>
      <c r="D99" s="1">
        <v>219.09196472168</v>
      </c>
      <c r="E99" s="1">
        <v>104.92259216308599</v>
      </c>
      <c r="F99" s="1">
        <v>104.0654296875</v>
      </c>
      <c r="G99" s="1">
        <v>104.0654296875</v>
      </c>
      <c r="H99" s="3">
        <f t="shared" si="13"/>
        <v>0.47889749081566158</v>
      </c>
      <c r="I99" s="4">
        <f t="shared" si="14"/>
        <v>8.1694748282016075E-3</v>
      </c>
      <c r="J99" s="3">
        <f t="shared" si="15"/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f t="shared" si="16"/>
        <v>0</v>
      </c>
      <c r="Q99" s="11">
        <v>3</v>
      </c>
    </row>
  </sheetData>
  <autoFilter ref="A1:Q99" xr:uid="{00000000-0001-0000-0200-000000000000}"/>
  <phoneticPr fontId="4" type="noConversion"/>
  <pageMargins left="0.7" right="0.7" top="0.75" bottom="0.75" header="0.3" footer="0.3"/>
  <ignoredErrors>
    <ignoredError sqref="P2:P9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3"/>
  <sheetViews>
    <sheetView workbookViewId="0">
      <selection activeCell="J74" sqref="J74"/>
    </sheetView>
  </sheetViews>
  <sheetFormatPr defaultColWidth="9" defaultRowHeight="14.25" x14ac:dyDescent="0.2"/>
  <cols>
    <col min="1" max="2" width="8.25" style="1" customWidth="1"/>
    <col min="3" max="3" width="24" style="1" bestFit="1" customWidth="1"/>
    <col min="4" max="6" width="12.75" style="1" customWidth="1"/>
    <col min="7" max="10" width="16.5" style="1" customWidth="1"/>
    <col min="11" max="11" width="16.5" style="8" bestFit="1" customWidth="1"/>
    <col min="12" max="12" width="15.25" style="8" bestFit="1" customWidth="1"/>
    <col min="13" max="13" width="21.5" style="8" bestFit="1" customWidth="1"/>
    <col min="14" max="15" width="19" style="8" bestFit="1" customWidth="1"/>
    <col min="16" max="16" width="16.5" style="10" customWidth="1"/>
    <col min="17" max="17" width="14" style="10" bestFit="1" customWidth="1"/>
  </cols>
  <sheetData>
    <row r="1" spans="1:17" x14ac:dyDescent="0.2">
      <c r="A1" s="2" t="s">
        <v>0</v>
      </c>
      <c r="B1" s="2" t="s">
        <v>1</v>
      </c>
      <c r="C1" s="2" t="s">
        <v>62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7" t="s">
        <v>63</v>
      </c>
      <c r="L1" s="7" t="s">
        <v>64</v>
      </c>
      <c r="M1" s="7" t="s">
        <v>66</v>
      </c>
      <c r="N1" s="7" t="s">
        <v>67</v>
      </c>
      <c r="O1" s="7" t="s">
        <v>68</v>
      </c>
      <c r="P1" s="7" t="s">
        <v>65</v>
      </c>
      <c r="Q1" s="7" t="s">
        <v>28</v>
      </c>
    </row>
    <row r="2" spans="1:17" x14ac:dyDescent="0.15">
      <c r="A2" s="1" t="s">
        <v>19</v>
      </c>
      <c r="B2" s="1">
        <v>21</v>
      </c>
      <c r="D2" s="1">
        <v>248.33044433593699</v>
      </c>
      <c r="E2" s="1">
        <v>98.638946533203097</v>
      </c>
      <c r="F2" s="1">
        <v>98.638946533203097</v>
      </c>
      <c r="G2" s="1">
        <v>98.638946533203097</v>
      </c>
      <c r="H2" s="3">
        <f t="shared" ref="H2:H33" si="0">E2/D2</f>
        <v>0.39720843248589405</v>
      </c>
      <c r="I2" s="3">
        <f t="shared" ref="I2:I33" si="1">(E2-F2)/E2</f>
        <v>0</v>
      </c>
      <c r="J2" s="3">
        <f t="shared" ref="J2:J23" si="2">(F2-G2)/F2</f>
        <v>0</v>
      </c>
      <c r="K2" s="8">
        <v>-0.81238555908203103</v>
      </c>
      <c r="L2" s="8">
        <v>0.28000000000000003</v>
      </c>
      <c r="M2" s="8">
        <v>9.1254381462931605E-2</v>
      </c>
      <c r="N2" s="8">
        <v>0.37</v>
      </c>
      <c r="O2" s="8">
        <v>0.13700000000000001</v>
      </c>
      <c r="P2" s="8">
        <f>AVERAGE(M2:O2)</f>
        <v>0.19941812715431054</v>
      </c>
      <c r="Q2" s="11">
        <v>1</v>
      </c>
    </row>
    <row r="3" spans="1:17" x14ac:dyDescent="0.15">
      <c r="A3" s="1" t="s">
        <v>15</v>
      </c>
      <c r="B3" s="1">
        <v>22</v>
      </c>
      <c r="D3" s="1">
        <v>277.93463134765602</v>
      </c>
      <c r="E3" s="1">
        <v>123.41136169433599</v>
      </c>
      <c r="F3" s="1">
        <v>34.441959381103501</v>
      </c>
      <c r="G3" s="1">
        <v>34.441959381103501</v>
      </c>
      <c r="H3" s="3">
        <f t="shared" si="0"/>
        <v>0.44403017031715719</v>
      </c>
      <c r="I3" s="4">
        <f t="shared" si="1"/>
        <v>0.72091743492459803</v>
      </c>
      <c r="J3" s="3">
        <f t="shared" si="2"/>
        <v>0</v>
      </c>
      <c r="K3" s="8">
        <v>-0.34636086225509599</v>
      </c>
      <c r="L3" s="8">
        <v>0.501</v>
      </c>
      <c r="M3" s="8">
        <v>0.48965679109096499</v>
      </c>
      <c r="N3" s="8">
        <v>1.18</v>
      </c>
      <c r="O3" s="8">
        <v>0.57599999999999996</v>
      </c>
      <c r="P3" s="8">
        <f t="shared" ref="P3:P66" si="3">AVERAGE(M3:O3)</f>
        <v>0.74855226369698835</v>
      </c>
      <c r="Q3" s="11">
        <v>2</v>
      </c>
    </row>
    <row r="4" spans="1:17" x14ac:dyDescent="0.15">
      <c r="A4" s="1" t="s">
        <v>12</v>
      </c>
      <c r="B4" s="1">
        <v>23</v>
      </c>
      <c r="D4" s="1">
        <v>329.67929077148398</v>
      </c>
      <c r="E4" s="1">
        <v>181.36288452148401</v>
      </c>
      <c r="F4" s="1">
        <v>178.22305297851599</v>
      </c>
      <c r="G4" s="1">
        <v>178.22305297851599</v>
      </c>
      <c r="H4" s="3">
        <f t="shared" si="0"/>
        <v>0.55011912970655785</v>
      </c>
      <c r="I4" s="4">
        <f t="shared" si="1"/>
        <v>1.7312426140840689E-2</v>
      </c>
      <c r="J4" s="3">
        <f t="shared" si="2"/>
        <v>0</v>
      </c>
      <c r="K4" s="8">
        <v>-0.11675139516591999</v>
      </c>
      <c r="L4" s="8">
        <v>0.83099999999999996</v>
      </c>
      <c r="M4" s="8">
        <v>0.36788233617941501</v>
      </c>
      <c r="N4" s="8">
        <v>0.91</v>
      </c>
      <c r="O4" s="8">
        <v>0.14599999999999999</v>
      </c>
      <c r="P4" s="8">
        <f t="shared" si="3"/>
        <v>0.47462744539313828</v>
      </c>
      <c r="Q4" s="11">
        <v>1</v>
      </c>
    </row>
    <row r="5" spans="1:17" x14ac:dyDescent="0.15">
      <c r="A5" s="1" t="s">
        <v>25</v>
      </c>
      <c r="B5" s="1">
        <v>24</v>
      </c>
      <c r="C5" s="1" t="s">
        <v>32</v>
      </c>
      <c r="D5" s="1">
        <v>259.80722045898398</v>
      </c>
      <c r="E5" s="1">
        <v>111.385208129883</v>
      </c>
      <c r="F5" s="1">
        <v>103.397323608398</v>
      </c>
      <c r="G5" s="1">
        <v>103.397323608398</v>
      </c>
      <c r="H5" s="3">
        <f t="shared" si="0"/>
        <v>0.42872252716112441</v>
      </c>
      <c r="I5" s="4">
        <f t="shared" si="1"/>
        <v>7.1714051224562633E-2</v>
      </c>
      <c r="J5" s="3">
        <f t="shared" si="2"/>
        <v>0</v>
      </c>
      <c r="K5" s="8">
        <v>2.6209954172372801E-2</v>
      </c>
      <c r="L5" s="8">
        <v>0.40799999999999997</v>
      </c>
      <c r="M5" s="8">
        <v>0.229420870542526</v>
      </c>
      <c r="N5" s="8">
        <v>0.69</v>
      </c>
      <c r="O5" s="8">
        <v>0.24</v>
      </c>
      <c r="P5" s="8">
        <f t="shared" si="3"/>
        <v>0.3864736235141753</v>
      </c>
      <c r="Q5" s="11">
        <v>2</v>
      </c>
    </row>
    <row r="6" spans="1:17" x14ac:dyDescent="0.15">
      <c r="A6" s="1" t="s">
        <v>21</v>
      </c>
      <c r="B6" s="1">
        <v>25</v>
      </c>
      <c r="C6" s="1" t="s">
        <v>32</v>
      </c>
      <c r="D6" s="1">
        <v>266.02606201171898</v>
      </c>
      <c r="E6" s="1">
        <v>94.284759521484403</v>
      </c>
      <c r="F6" s="1">
        <v>15.3544673919678</v>
      </c>
      <c r="G6" s="1">
        <v>15.3544673919678</v>
      </c>
      <c r="H6" s="3">
        <f t="shared" si="0"/>
        <v>0.35441925805499075</v>
      </c>
      <c r="I6" s="4">
        <f t="shared" si="1"/>
        <v>0.8371479391802551</v>
      </c>
      <c r="J6" s="3">
        <f t="shared" si="2"/>
        <v>0</v>
      </c>
      <c r="K6" s="8">
        <v>-0.331070385873317</v>
      </c>
      <c r="L6" s="8">
        <v>1.367</v>
      </c>
      <c r="M6" s="8">
        <v>0.54854129006465202</v>
      </c>
      <c r="N6" s="8">
        <v>0.9850000000000001</v>
      </c>
      <c r="O6" s="8">
        <v>0.435</v>
      </c>
      <c r="P6" s="8">
        <f>AVERAGE(M6:O6)</f>
        <v>0.65618043002155069</v>
      </c>
      <c r="Q6" s="11">
        <v>2</v>
      </c>
    </row>
    <row r="7" spans="1:17" x14ac:dyDescent="0.15">
      <c r="A7" s="1" t="s">
        <v>24</v>
      </c>
      <c r="B7" s="1">
        <v>26</v>
      </c>
      <c r="C7" s="1" t="s">
        <v>31</v>
      </c>
      <c r="D7" s="1">
        <v>270.98791503906301</v>
      </c>
      <c r="E7" s="1">
        <v>50.988800048828097</v>
      </c>
      <c r="F7" s="1">
        <v>31.639858245849599</v>
      </c>
      <c r="G7" s="1">
        <v>31.639858245849599</v>
      </c>
      <c r="H7" s="5">
        <f t="shared" si="0"/>
        <v>0.18815894443661091</v>
      </c>
      <c r="I7" s="4">
        <f t="shared" si="1"/>
        <v>0.37947435092509507</v>
      </c>
      <c r="J7" s="3">
        <f t="shared" si="2"/>
        <v>0</v>
      </c>
      <c r="K7" s="8">
        <v>0.56667691469192505</v>
      </c>
      <c r="L7" s="8">
        <v>8.8999999999999996E-2</v>
      </c>
      <c r="M7" s="8">
        <v>1.47588522732257</v>
      </c>
      <c r="N7" s="8">
        <v>1.45</v>
      </c>
      <c r="O7" s="8">
        <v>0.58050000000000002</v>
      </c>
      <c r="P7" s="8">
        <f t="shared" si="3"/>
        <v>1.1687950757741898</v>
      </c>
      <c r="Q7" s="11">
        <v>2</v>
      </c>
    </row>
    <row r="8" spans="1:17" x14ac:dyDescent="0.15">
      <c r="A8" s="1" t="s">
        <v>16</v>
      </c>
      <c r="B8" s="1">
        <v>27</v>
      </c>
      <c r="C8" s="1" t="s">
        <v>31</v>
      </c>
      <c r="D8" s="1">
        <v>286.14468383789102</v>
      </c>
      <c r="E8" s="1">
        <v>69.041191101074205</v>
      </c>
      <c r="F8" s="1">
        <v>69.041191101074205</v>
      </c>
      <c r="G8" s="1">
        <v>63.469600677490199</v>
      </c>
      <c r="H8" s="3">
        <f t="shared" si="0"/>
        <v>0.24128070518405287</v>
      </c>
      <c r="I8" s="3">
        <f t="shared" si="1"/>
        <v>0</v>
      </c>
      <c r="J8" s="6">
        <f t="shared" si="2"/>
        <v>8.069951191061242E-2</v>
      </c>
      <c r="K8" s="8">
        <v>-0.34660564363002699</v>
      </c>
      <c r="L8" s="8">
        <v>0.51300000000000001</v>
      </c>
      <c r="M8" s="8">
        <v>0.15084671974182101</v>
      </c>
      <c r="N8" s="8">
        <v>0.53</v>
      </c>
      <c r="O8" s="8">
        <v>0.17399999999999999</v>
      </c>
      <c r="P8" s="8">
        <f t="shared" si="3"/>
        <v>0.28494890658060701</v>
      </c>
      <c r="Q8" s="11">
        <v>3</v>
      </c>
    </row>
    <row r="9" spans="1:17" x14ac:dyDescent="0.15">
      <c r="A9" s="1" t="s">
        <v>14</v>
      </c>
      <c r="B9" s="1">
        <v>28</v>
      </c>
      <c r="C9" s="1" t="s">
        <v>31</v>
      </c>
      <c r="D9" s="1">
        <v>182.01216125488301</v>
      </c>
      <c r="E9" s="1">
        <v>52.081146240234403</v>
      </c>
      <c r="F9" s="1">
        <v>15.599250793456999</v>
      </c>
      <c r="G9" s="1">
        <v>15.599250793456999</v>
      </c>
      <c r="H9" s="3">
        <f t="shared" si="0"/>
        <v>0.28614102421047521</v>
      </c>
      <c r="I9" s="4">
        <f t="shared" si="1"/>
        <v>0.70048180734151988</v>
      </c>
      <c r="J9" s="3">
        <f t="shared" si="2"/>
        <v>0</v>
      </c>
      <c r="K9" s="8">
        <v>-0.189268358051776</v>
      </c>
      <c r="L9" s="8">
        <v>2.5385</v>
      </c>
      <c r="M9" s="8">
        <v>0.77506596843401399</v>
      </c>
      <c r="N9" s="8">
        <v>0.72</v>
      </c>
      <c r="O9" s="8">
        <v>0.26450000000000001</v>
      </c>
      <c r="P9" s="8">
        <f t="shared" si="3"/>
        <v>0.5865219894780046</v>
      </c>
      <c r="Q9" s="11">
        <v>4</v>
      </c>
    </row>
    <row r="10" spans="1:17" x14ac:dyDescent="0.15">
      <c r="A10" s="1" t="s">
        <v>24</v>
      </c>
      <c r="B10" s="1">
        <v>29</v>
      </c>
      <c r="C10" s="1" t="s">
        <v>31</v>
      </c>
      <c r="D10" s="1">
        <v>268.69110107421898</v>
      </c>
      <c r="E10" s="1">
        <v>51.444957733154297</v>
      </c>
      <c r="F10" s="1">
        <v>0.72457689046859697</v>
      </c>
      <c r="G10" s="1">
        <v>0.72457689046859697</v>
      </c>
      <c r="H10" s="5">
        <f t="shared" si="0"/>
        <v>0.1914650597934911</v>
      </c>
      <c r="I10" s="4">
        <f t="shared" si="1"/>
        <v>0.98591549254978517</v>
      </c>
      <c r="J10" s="3">
        <f t="shared" si="2"/>
        <v>0</v>
      </c>
      <c r="K10" s="8">
        <v>1.3583970665931699</v>
      </c>
      <c r="L10" s="8">
        <v>-1.0999999999999999E-2</v>
      </c>
      <c r="M10" s="8">
        <v>2.1910558144251402</v>
      </c>
      <c r="N10" s="8">
        <v>1.3049999999999999</v>
      </c>
      <c r="O10" s="8">
        <v>0.67500000000000004</v>
      </c>
      <c r="P10" s="8">
        <f t="shared" si="3"/>
        <v>1.3903519381417133</v>
      </c>
      <c r="Q10" s="11">
        <v>1</v>
      </c>
    </row>
    <row r="11" spans="1:17" x14ac:dyDescent="0.15">
      <c r="A11" s="1" t="s">
        <v>11</v>
      </c>
      <c r="B11" s="1">
        <v>30</v>
      </c>
      <c r="C11" s="1" t="s">
        <v>34</v>
      </c>
      <c r="D11" s="1">
        <v>240.95028686523401</v>
      </c>
      <c r="E11" s="1">
        <v>43.433067321777301</v>
      </c>
      <c r="F11" s="1">
        <v>25.621791839599599</v>
      </c>
      <c r="G11" s="1">
        <v>1.39468622207642</v>
      </c>
      <c r="H11" s="5">
        <f t="shared" si="0"/>
        <v>0.18025737958996441</v>
      </c>
      <c r="I11" s="4">
        <f t="shared" si="1"/>
        <v>0.41008560022301588</v>
      </c>
      <c r="J11" s="6">
        <f t="shared" si="2"/>
        <v>0.94556640570622108</v>
      </c>
      <c r="K11" s="8">
        <v>-0.13171071186661701</v>
      </c>
      <c r="L11" s="8">
        <v>0.59550000000000003</v>
      </c>
      <c r="M11" s="8">
        <v>0.52200358423093995</v>
      </c>
      <c r="N11" s="8">
        <v>0.55000000000000004</v>
      </c>
      <c r="O11" s="8">
        <v>0.25700000000000001</v>
      </c>
      <c r="P11" s="8">
        <f t="shared" si="3"/>
        <v>0.44300119474364674</v>
      </c>
      <c r="Q11" s="11">
        <v>2</v>
      </c>
    </row>
    <row r="12" spans="1:17" x14ac:dyDescent="0.15">
      <c r="A12" s="1" t="s">
        <v>10</v>
      </c>
      <c r="B12" s="1">
        <v>31</v>
      </c>
      <c r="C12" s="1" t="s">
        <v>34</v>
      </c>
      <c r="D12" s="1">
        <v>310.79452514648398</v>
      </c>
      <c r="E12" s="1">
        <v>119.33049774169901</v>
      </c>
      <c r="F12" s="1">
        <v>119.33049774169901</v>
      </c>
      <c r="G12" s="1">
        <v>110.75897216796901</v>
      </c>
      <c r="H12" s="3">
        <f t="shared" si="0"/>
        <v>0.38395302390045655</v>
      </c>
      <c r="I12" s="3">
        <f t="shared" si="1"/>
        <v>0</v>
      </c>
      <c r="J12" s="6">
        <f t="shared" si="2"/>
        <v>7.1830133418900127E-2</v>
      </c>
      <c r="K12" s="8">
        <v>-0.21146085858344901</v>
      </c>
      <c r="L12" s="8">
        <v>0.437</v>
      </c>
      <c r="M12" s="8">
        <v>0.26849285637338899</v>
      </c>
      <c r="N12" s="8">
        <v>0.39</v>
      </c>
      <c r="O12" s="8">
        <v>0.13500000000000001</v>
      </c>
      <c r="P12" s="8">
        <f t="shared" si="3"/>
        <v>0.26449761879112965</v>
      </c>
      <c r="Q12" s="11">
        <v>2</v>
      </c>
    </row>
    <row r="13" spans="1:17" x14ac:dyDescent="0.15">
      <c r="A13" s="1" t="s">
        <v>18</v>
      </c>
      <c r="B13" s="1">
        <v>32</v>
      </c>
      <c r="C13" s="1" t="s">
        <v>33</v>
      </c>
      <c r="D13" s="1">
        <v>236.70129394531199</v>
      </c>
      <c r="E13" s="1">
        <v>45.889869689941399</v>
      </c>
      <c r="F13" s="1">
        <v>45.889869689941399</v>
      </c>
      <c r="G13" s="1">
        <v>9.6610250473022496</v>
      </c>
      <c r="H13" s="5">
        <f t="shared" si="0"/>
        <v>0.19387249188652048</v>
      </c>
      <c r="I13" s="3">
        <f t="shared" si="1"/>
        <v>0</v>
      </c>
      <c r="J13" s="6">
        <f t="shared" si="2"/>
        <v>0.78947368749186375</v>
      </c>
      <c r="K13" s="8">
        <v>-0.81757697463035595</v>
      </c>
      <c r="L13" s="8">
        <v>0.76749999999999996</v>
      </c>
      <c r="M13" s="8">
        <v>0.19616986811161</v>
      </c>
      <c r="N13" s="8">
        <v>0.61</v>
      </c>
      <c r="O13" s="8">
        <v>0.14799999999999999</v>
      </c>
      <c r="P13" s="8">
        <f t="shared" si="3"/>
        <v>0.31805662270386997</v>
      </c>
      <c r="Q13" s="11">
        <v>0</v>
      </c>
    </row>
    <row r="14" spans="1:17" x14ac:dyDescent="0.15">
      <c r="A14" s="1" t="s">
        <v>9</v>
      </c>
      <c r="B14" s="1">
        <v>33</v>
      </c>
      <c r="C14" s="1" t="s">
        <v>33</v>
      </c>
      <c r="D14" s="1">
        <v>210.93702697753901</v>
      </c>
      <c r="E14" s="1">
        <v>25.356613159179702</v>
      </c>
      <c r="F14" s="1">
        <v>1.2076281309127801</v>
      </c>
      <c r="G14" s="1">
        <v>1.2076281309127801</v>
      </c>
      <c r="H14" s="5">
        <f t="shared" si="0"/>
        <v>0.1202093986177198</v>
      </c>
      <c r="I14" s="4">
        <f t="shared" si="1"/>
        <v>0.95237423376175179</v>
      </c>
      <c r="J14" s="3">
        <f t="shared" si="2"/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f t="shared" si="3"/>
        <v>0</v>
      </c>
      <c r="Q14" s="11">
        <v>2</v>
      </c>
    </row>
    <row r="15" spans="1:17" x14ac:dyDescent="0.15">
      <c r="A15" s="1" t="s">
        <v>24</v>
      </c>
      <c r="B15" s="1">
        <v>34</v>
      </c>
      <c r="C15" s="1" t="s">
        <v>33</v>
      </c>
      <c r="D15" s="1">
        <v>264.29498291015602</v>
      </c>
      <c r="E15" s="1">
        <v>6.6810164451599103</v>
      </c>
      <c r="F15" s="1">
        <v>0.72457689046859697</v>
      </c>
      <c r="G15" s="1">
        <v>0.72457689046859697</v>
      </c>
      <c r="H15" s="5">
        <f t="shared" si="0"/>
        <v>2.5278635150751398E-2</v>
      </c>
      <c r="I15" s="4">
        <f t="shared" si="1"/>
        <v>0.89154690810654713</v>
      </c>
      <c r="J15" s="3">
        <f t="shared" si="2"/>
        <v>0</v>
      </c>
      <c r="K15" s="8">
        <v>2.28492784500121</v>
      </c>
      <c r="L15" s="8">
        <v>9.4999999999999998E-3</v>
      </c>
      <c r="M15" s="8">
        <v>2.5233648419380099</v>
      </c>
      <c r="N15" s="8">
        <v>0.89</v>
      </c>
      <c r="O15" s="8">
        <v>1.3454999999999999</v>
      </c>
      <c r="P15" s="8">
        <f t="shared" si="3"/>
        <v>1.5862882806460032</v>
      </c>
      <c r="Q15" s="11">
        <v>2</v>
      </c>
    </row>
    <row r="16" spans="1:17" x14ac:dyDescent="0.15">
      <c r="A16" s="1" t="s">
        <v>12</v>
      </c>
      <c r="B16" s="1">
        <v>35</v>
      </c>
      <c r="C16" s="1" t="s">
        <v>33</v>
      </c>
      <c r="D16" s="1">
        <v>322.78805541992199</v>
      </c>
      <c r="E16" s="1">
        <v>80.222068786621094</v>
      </c>
      <c r="F16" s="1">
        <v>52.726791381835902</v>
      </c>
      <c r="G16" s="1">
        <v>52.726791381835902</v>
      </c>
      <c r="H16" s="3">
        <f t="shared" si="0"/>
        <v>0.24852861634628476</v>
      </c>
      <c r="I16" s="4">
        <f t="shared" si="1"/>
        <v>0.34273957055281867</v>
      </c>
      <c r="J16" s="3">
        <f t="shared" si="2"/>
        <v>0</v>
      </c>
      <c r="K16" s="8">
        <v>0.20488821715116501</v>
      </c>
      <c r="L16" s="8">
        <v>0.3715</v>
      </c>
      <c r="M16" s="8">
        <v>0.27324190611640498</v>
      </c>
      <c r="N16" s="8">
        <v>0.86499999999999999</v>
      </c>
      <c r="O16" s="8">
        <v>0.32400000000000001</v>
      </c>
      <c r="P16" s="8">
        <f t="shared" si="3"/>
        <v>0.48741396870546833</v>
      </c>
      <c r="Q16" s="11">
        <v>3</v>
      </c>
    </row>
    <row r="17" spans="1:17" x14ac:dyDescent="0.15">
      <c r="A17" s="1" t="s">
        <v>12</v>
      </c>
      <c r="B17" s="1">
        <v>36</v>
      </c>
      <c r="C17" s="1" t="s">
        <v>33</v>
      </c>
      <c r="D17" s="1">
        <v>334.16394042968801</v>
      </c>
      <c r="E17" s="1">
        <v>122.149307250977</v>
      </c>
      <c r="F17" s="1">
        <v>36.439895629882798</v>
      </c>
      <c r="G17" s="1">
        <v>17.192741394043001</v>
      </c>
      <c r="H17" s="3">
        <f t="shared" si="0"/>
        <v>0.3655370687031943</v>
      </c>
      <c r="I17" s="4">
        <f t="shared" si="1"/>
        <v>0.70167742699505697</v>
      </c>
      <c r="J17" s="6">
        <f t="shared" si="2"/>
        <v>0.52818906045537706</v>
      </c>
      <c r="K17" s="8">
        <v>0.37190651893615601</v>
      </c>
      <c r="L17" s="8">
        <v>1.1990000000000001</v>
      </c>
      <c r="M17" s="8">
        <v>1.3923387328783601</v>
      </c>
      <c r="N17" s="8">
        <v>1.7549999999999999</v>
      </c>
      <c r="O17" s="8">
        <v>0.5635</v>
      </c>
      <c r="P17" s="8">
        <f t="shared" si="3"/>
        <v>1.2369462442927868</v>
      </c>
      <c r="Q17" s="11">
        <v>1</v>
      </c>
    </row>
    <row r="18" spans="1:17" x14ac:dyDescent="0.15">
      <c r="A18" s="1" t="s">
        <v>15</v>
      </c>
      <c r="B18" s="1">
        <v>37</v>
      </c>
      <c r="C18" s="1" t="s">
        <v>33</v>
      </c>
      <c r="D18" s="1">
        <v>280.11618041992199</v>
      </c>
      <c r="E18" s="1">
        <v>114.466110229492</v>
      </c>
      <c r="F18" s="1">
        <v>0.24152563512325301</v>
      </c>
      <c r="G18" s="1">
        <v>0.24152563512325301</v>
      </c>
      <c r="H18" s="3">
        <f t="shared" si="0"/>
        <v>0.40863798034763976</v>
      </c>
      <c r="I18" s="4">
        <f t="shared" si="1"/>
        <v>0.99788998128232875</v>
      </c>
      <c r="J18" s="3">
        <f t="shared" si="2"/>
        <v>0</v>
      </c>
      <c r="K18" s="8">
        <v>1.3266788721084599</v>
      </c>
      <c r="L18" s="8">
        <v>3.5000000000000003E-2</v>
      </c>
      <c r="M18" s="8">
        <v>2.4857253233591599</v>
      </c>
      <c r="N18" s="8">
        <v>1.4950000000000001</v>
      </c>
      <c r="O18" s="8">
        <v>1.738</v>
      </c>
      <c r="P18" s="8">
        <f t="shared" si="3"/>
        <v>1.9062417744530533</v>
      </c>
      <c r="Q18" s="11">
        <v>1</v>
      </c>
    </row>
    <row r="19" spans="1:17" x14ac:dyDescent="0.15">
      <c r="A19" s="1" t="s">
        <v>9</v>
      </c>
      <c r="B19" s="1">
        <v>38</v>
      </c>
      <c r="C19" s="1" t="s">
        <v>33</v>
      </c>
      <c r="D19" s="1">
        <v>210.31796264648401</v>
      </c>
      <c r="E19" s="1">
        <v>25.729202270507798</v>
      </c>
      <c r="F19" s="1">
        <v>0.72457689046859697</v>
      </c>
      <c r="G19" s="1">
        <v>0.72457689046859697</v>
      </c>
      <c r="H19" s="5">
        <f t="shared" si="0"/>
        <v>0.12233478275821405</v>
      </c>
      <c r="I19" s="4">
        <f t="shared" si="1"/>
        <v>0.97183834606099906</v>
      </c>
      <c r="J19" s="3">
        <f t="shared" si="2"/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f t="shared" si="3"/>
        <v>0</v>
      </c>
      <c r="Q19" s="11">
        <v>0</v>
      </c>
    </row>
    <row r="20" spans="1:17" x14ac:dyDescent="0.15">
      <c r="A20" s="1" t="s">
        <v>12</v>
      </c>
      <c r="B20" s="1">
        <v>39</v>
      </c>
      <c r="C20" s="1" t="s">
        <v>33</v>
      </c>
      <c r="D20" s="1">
        <v>339.64105224609398</v>
      </c>
      <c r="E20" s="1">
        <v>99.605865478515597</v>
      </c>
      <c r="F20" s="1">
        <v>16.185106277465799</v>
      </c>
      <c r="G20" s="1">
        <v>4.1556358337402299</v>
      </c>
      <c r="H20" s="3">
        <f t="shared" si="0"/>
        <v>0.2932680393604013</v>
      </c>
      <c r="I20" s="4">
        <f t="shared" si="1"/>
        <v>0.83750850213779005</v>
      </c>
      <c r="J20" s="6">
        <f t="shared" si="2"/>
        <v>0.74324321617053324</v>
      </c>
      <c r="K20" s="8">
        <v>-0.123590894043445</v>
      </c>
      <c r="L20" s="8">
        <v>0.10050000000000001</v>
      </c>
      <c r="M20" s="8">
        <v>0.56677401562531704</v>
      </c>
      <c r="N20" s="8">
        <v>1.4950000000000001</v>
      </c>
      <c r="O20" s="8">
        <v>1.1865000000000001</v>
      </c>
      <c r="P20" s="8">
        <f t="shared" si="3"/>
        <v>1.0827580052084391</v>
      </c>
      <c r="Q20" s="11">
        <v>6</v>
      </c>
    </row>
    <row r="21" spans="1:17" x14ac:dyDescent="0.15">
      <c r="A21" s="1" t="s">
        <v>12</v>
      </c>
      <c r="B21" s="1">
        <v>40</v>
      </c>
      <c r="C21" s="1" t="s">
        <v>33</v>
      </c>
      <c r="D21" s="1">
        <v>352.34338378906301</v>
      </c>
      <c r="E21" s="1">
        <v>225.63488769531199</v>
      </c>
      <c r="F21" s="1">
        <v>14.8870992660522</v>
      </c>
      <c r="G21" s="1">
        <v>14.8870992660522</v>
      </c>
      <c r="H21" s="3">
        <f t="shared" si="0"/>
        <v>0.64038349540967276</v>
      </c>
      <c r="I21" s="4">
        <f t="shared" si="1"/>
        <v>0.934021288028139</v>
      </c>
      <c r="J21" s="3">
        <f t="shared" si="2"/>
        <v>0</v>
      </c>
      <c r="K21" s="8">
        <v>-0.259693033993244</v>
      </c>
      <c r="L21" s="8">
        <v>0.3155</v>
      </c>
      <c r="M21" s="8">
        <v>1.6405525803565999</v>
      </c>
      <c r="N21" s="8">
        <v>1.6800000000000002</v>
      </c>
      <c r="O21" s="8">
        <v>2.3975</v>
      </c>
      <c r="P21" s="8">
        <f t="shared" si="3"/>
        <v>1.9060175267855335</v>
      </c>
      <c r="Q21" s="11">
        <v>4</v>
      </c>
    </row>
    <row r="22" spans="1:17" x14ac:dyDescent="0.15">
      <c r="A22" s="1" t="s">
        <v>14</v>
      </c>
      <c r="B22" s="1">
        <v>41</v>
      </c>
      <c r="C22" s="1" t="s">
        <v>33</v>
      </c>
      <c r="D22" s="1">
        <v>182.27035522460901</v>
      </c>
      <c r="E22" s="1">
        <v>66.083641052246094</v>
      </c>
      <c r="F22" s="1">
        <v>7.12609767913818</v>
      </c>
      <c r="G22" s="1">
        <v>7.12609767913818</v>
      </c>
      <c r="H22" s="3">
        <f t="shared" si="0"/>
        <v>0.36255835991986862</v>
      </c>
      <c r="I22" s="4">
        <f t="shared" si="1"/>
        <v>0.89216548050819033</v>
      </c>
      <c r="J22" s="3">
        <f t="shared" si="2"/>
        <v>0</v>
      </c>
      <c r="K22" s="8">
        <v>-1.4287459254264701</v>
      </c>
      <c r="L22" s="8">
        <v>0.379</v>
      </c>
      <c r="M22" s="8">
        <v>0.59524591763814205</v>
      </c>
      <c r="N22" s="8">
        <v>0.53</v>
      </c>
      <c r="O22" s="8">
        <v>1.194</v>
      </c>
      <c r="P22" s="8">
        <f t="shared" si="3"/>
        <v>0.77308197254604727</v>
      </c>
      <c r="Q22" s="11">
        <v>3</v>
      </c>
    </row>
    <row r="23" spans="1:17" x14ac:dyDescent="0.15">
      <c r="A23" s="1" t="s">
        <v>14</v>
      </c>
      <c r="B23" s="1">
        <v>42</v>
      </c>
      <c r="C23" s="1" t="s">
        <v>36</v>
      </c>
      <c r="D23" s="1">
        <v>189.85450744628901</v>
      </c>
      <c r="E23" s="1">
        <v>69.647636413574205</v>
      </c>
      <c r="F23" s="1">
        <v>3.35412502288818</v>
      </c>
      <c r="G23" s="1">
        <v>3.35412502288818</v>
      </c>
      <c r="H23" s="3">
        <f t="shared" si="0"/>
        <v>0.36684742095616529</v>
      </c>
      <c r="I23" s="4">
        <f t="shared" si="1"/>
        <v>0.95184150969645154</v>
      </c>
      <c r="J23" s="3">
        <f t="shared" si="2"/>
        <v>0</v>
      </c>
      <c r="K23" s="8">
        <v>1.4451495409011801</v>
      </c>
      <c r="L23" s="8">
        <v>0.109</v>
      </c>
      <c r="M23" s="8">
        <v>0.78136914471785102</v>
      </c>
      <c r="N23" s="8">
        <v>0.29000000000000004</v>
      </c>
      <c r="O23" s="8">
        <v>1.2410000000000001</v>
      </c>
      <c r="P23" s="8">
        <f t="shared" si="3"/>
        <v>0.7707897149059505</v>
      </c>
      <c r="Q23" s="11">
        <v>4</v>
      </c>
    </row>
    <row r="24" spans="1:17" x14ac:dyDescent="0.15">
      <c r="A24" s="1" t="s">
        <v>19</v>
      </c>
      <c r="B24" s="1">
        <v>43</v>
      </c>
      <c r="C24" s="1" t="s">
        <v>36</v>
      </c>
      <c r="D24" s="1">
        <v>254.66682434082</v>
      </c>
      <c r="E24" s="1">
        <v>63.218090057372997</v>
      </c>
      <c r="F24" s="1">
        <v>0</v>
      </c>
      <c r="G24" s="1">
        <v>0</v>
      </c>
      <c r="H24" s="3">
        <f t="shared" si="0"/>
        <v>0.24823841982954317</v>
      </c>
      <c r="I24" s="4">
        <f t="shared" si="1"/>
        <v>1</v>
      </c>
      <c r="J24" s="3">
        <v>0</v>
      </c>
      <c r="K24" s="8">
        <v>0.16243193671107301</v>
      </c>
      <c r="L24" s="8">
        <v>0.309</v>
      </c>
      <c r="M24" s="8">
        <v>1.17997807264328</v>
      </c>
      <c r="N24" s="8">
        <v>1.22</v>
      </c>
      <c r="O24" s="8">
        <v>1.7309999999999999</v>
      </c>
      <c r="P24" s="8">
        <f t="shared" si="3"/>
        <v>1.3769926908810932</v>
      </c>
      <c r="Q24" s="11">
        <v>0</v>
      </c>
    </row>
    <row r="25" spans="1:17" x14ac:dyDescent="0.15">
      <c r="A25" s="1" t="s">
        <v>10</v>
      </c>
      <c r="B25" s="1">
        <v>44</v>
      </c>
      <c r="C25" s="1" t="s">
        <v>35</v>
      </c>
      <c r="D25" s="1">
        <v>301.43765258789102</v>
      </c>
      <c r="E25" s="1">
        <v>174.89651489257801</v>
      </c>
      <c r="F25" s="1">
        <v>42.158027648925803</v>
      </c>
      <c r="G25" s="1">
        <v>32.640670776367202</v>
      </c>
      <c r="H25" s="3">
        <f t="shared" si="0"/>
        <v>0.58020792489280326</v>
      </c>
      <c r="I25" s="4">
        <f t="shared" si="1"/>
        <v>0.75895444414761837</v>
      </c>
      <c r="J25" s="6">
        <v>0</v>
      </c>
      <c r="K25" s="8">
        <v>0.21872991323471</v>
      </c>
      <c r="L25" s="8">
        <v>-0.25800000000000001</v>
      </c>
      <c r="M25" s="8">
        <v>1.17880969246228</v>
      </c>
      <c r="N25" s="8">
        <v>1.4550000000000001</v>
      </c>
      <c r="O25" s="8">
        <v>1.1400000000000001</v>
      </c>
      <c r="P25" s="8">
        <f t="shared" si="3"/>
        <v>1.2579365641540934</v>
      </c>
      <c r="Q25" s="11">
        <v>1</v>
      </c>
    </row>
    <row r="26" spans="1:17" x14ac:dyDescent="0.15">
      <c r="A26" s="1" t="s">
        <v>12</v>
      </c>
      <c r="B26" s="1">
        <v>45</v>
      </c>
      <c r="C26" s="1" t="s">
        <v>61</v>
      </c>
      <c r="D26" s="1">
        <v>346.41891479492199</v>
      </c>
      <c r="E26" s="1">
        <v>228.23194885253901</v>
      </c>
      <c r="F26" s="1">
        <v>148.03102111816401</v>
      </c>
      <c r="G26" s="1">
        <v>23.349004745483398</v>
      </c>
      <c r="H26" s="3">
        <f t="shared" si="0"/>
        <v>0.65883223780563771</v>
      </c>
      <c r="I26" s="4">
        <f t="shared" si="1"/>
        <v>0.35140096790827885</v>
      </c>
      <c r="J26" s="6">
        <v>0</v>
      </c>
      <c r="K26" s="8">
        <v>0.20051959902048</v>
      </c>
      <c r="L26" s="8">
        <v>0.13</v>
      </c>
      <c r="M26" s="8">
        <v>0.327959810694058</v>
      </c>
      <c r="N26" s="8">
        <v>1.085</v>
      </c>
      <c r="O26" s="8">
        <v>0.17849999999999999</v>
      </c>
      <c r="P26" s="8">
        <f t="shared" si="3"/>
        <v>0.53048660356468602</v>
      </c>
      <c r="Q26" s="11">
        <v>6</v>
      </c>
    </row>
    <row r="27" spans="1:17" x14ac:dyDescent="0.15">
      <c r="A27" s="1" t="s">
        <v>24</v>
      </c>
      <c r="B27" s="1">
        <v>46</v>
      </c>
      <c r="C27" s="1" t="s">
        <v>37</v>
      </c>
      <c r="D27" s="1">
        <v>278.51419067382801</v>
      </c>
      <c r="E27" s="1">
        <v>38.044063568115199</v>
      </c>
      <c r="F27" s="1">
        <v>30.128189086914102</v>
      </c>
      <c r="G27" s="1">
        <v>1.85050368309021</v>
      </c>
      <c r="H27" s="5">
        <f t="shared" si="0"/>
        <v>0.13659649971900051</v>
      </c>
      <c r="I27" s="4">
        <f t="shared" si="1"/>
        <v>0.20807121371323242</v>
      </c>
      <c r="J27" s="6">
        <v>0</v>
      </c>
      <c r="K27" s="8">
        <v>3.2449451684951698</v>
      </c>
      <c r="L27" s="8">
        <v>4.0500000000000001E-2</v>
      </c>
      <c r="M27" s="8">
        <v>1.01446195443471</v>
      </c>
      <c r="N27" s="8">
        <v>1.24</v>
      </c>
      <c r="O27" s="8">
        <v>0.6895</v>
      </c>
      <c r="P27" s="8">
        <f t="shared" si="3"/>
        <v>0.98132065147823655</v>
      </c>
      <c r="Q27" s="11">
        <v>0</v>
      </c>
    </row>
    <row r="28" spans="1:17" x14ac:dyDescent="0.15">
      <c r="A28" s="1" t="s">
        <v>13</v>
      </c>
      <c r="B28" s="1">
        <v>47</v>
      </c>
      <c r="C28" s="1" t="s">
        <v>35</v>
      </c>
      <c r="D28" s="1">
        <v>210.98922729492199</v>
      </c>
      <c r="E28" s="1">
        <v>70.250221252441406</v>
      </c>
      <c r="F28" s="1">
        <v>20.678766250610401</v>
      </c>
      <c r="G28" s="1">
        <v>6.9935073852539098</v>
      </c>
      <c r="H28" s="3">
        <f t="shared" si="0"/>
        <v>0.33295643646414813</v>
      </c>
      <c r="I28" s="4">
        <f t="shared" si="1"/>
        <v>0.70564126515271652</v>
      </c>
      <c r="J28" s="6">
        <v>0</v>
      </c>
      <c r="K28" s="8">
        <v>0.289788588881492</v>
      </c>
      <c r="L28" s="8">
        <v>0.35199999999999998</v>
      </c>
      <c r="M28" s="8">
        <v>0.184881385726232</v>
      </c>
      <c r="N28" s="8">
        <v>0.61</v>
      </c>
      <c r="O28" s="8">
        <v>9.1999999999999998E-2</v>
      </c>
      <c r="P28" s="8">
        <f t="shared" si="3"/>
        <v>0.29562712857541068</v>
      </c>
      <c r="Q28" s="11">
        <v>2</v>
      </c>
    </row>
    <row r="29" spans="1:17" x14ac:dyDescent="0.15">
      <c r="A29" s="1" t="s">
        <v>14</v>
      </c>
      <c r="B29" s="1">
        <v>48</v>
      </c>
      <c r="C29" s="1" t="s">
        <v>35</v>
      </c>
      <c r="D29" s="1">
        <v>184.93804931640599</v>
      </c>
      <c r="E29" s="1">
        <v>60.248256683349602</v>
      </c>
      <c r="F29" s="1">
        <v>60.248256683349602</v>
      </c>
      <c r="G29" s="1">
        <v>37.8425483703613</v>
      </c>
      <c r="H29" s="3">
        <f t="shared" si="0"/>
        <v>0.32577534426283655</v>
      </c>
      <c r="I29" s="3">
        <f t="shared" si="1"/>
        <v>0</v>
      </c>
      <c r="J29" s="6">
        <v>0</v>
      </c>
      <c r="K29" s="8">
        <v>-0.60518303513526805</v>
      </c>
      <c r="L29" s="8">
        <v>0.25750000000000001</v>
      </c>
      <c r="M29" s="8">
        <v>0.17040279507636999</v>
      </c>
      <c r="N29" s="8">
        <v>0.4</v>
      </c>
      <c r="O29" s="8">
        <v>9.0999999999999998E-2</v>
      </c>
      <c r="P29" s="8">
        <f t="shared" si="3"/>
        <v>0.22046759835879001</v>
      </c>
      <c r="Q29" s="11">
        <v>2</v>
      </c>
    </row>
    <row r="30" spans="1:17" x14ac:dyDescent="0.15">
      <c r="A30" s="1" t="s">
        <v>15</v>
      </c>
      <c r="B30" s="1">
        <v>49</v>
      </c>
      <c r="C30" s="1" t="s">
        <v>39</v>
      </c>
      <c r="D30" s="1">
        <v>280.25436401367199</v>
      </c>
      <c r="E30" s="1">
        <v>140.51513671875</v>
      </c>
      <c r="F30" s="1">
        <v>123.47576141357401</v>
      </c>
      <c r="G30" s="1">
        <v>123.47576141357401</v>
      </c>
      <c r="H30" s="3">
        <f t="shared" si="0"/>
        <v>0.50138429498958692</v>
      </c>
      <c r="I30" s="4">
        <f t="shared" si="1"/>
        <v>0.12126362826861414</v>
      </c>
      <c r="J30" s="3">
        <v>0</v>
      </c>
      <c r="K30" s="8">
        <v>-0.640740066766738</v>
      </c>
      <c r="L30" s="8">
        <v>0.23749999999999999</v>
      </c>
      <c r="M30" s="8">
        <v>1.7142172902822501E-2</v>
      </c>
      <c r="N30" s="8">
        <v>0.95</v>
      </c>
      <c r="O30" s="8">
        <v>0.2465</v>
      </c>
      <c r="P30" s="8">
        <f t="shared" si="3"/>
        <v>0.40454739096760745</v>
      </c>
      <c r="Q30" s="11">
        <v>5</v>
      </c>
    </row>
    <row r="31" spans="1:17" x14ac:dyDescent="0.15">
      <c r="A31" s="1" t="s">
        <v>24</v>
      </c>
      <c r="B31" s="1">
        <v>50</v>
      </c>
      <c r="C31" s="1" t="s">
        <v>39</v>
      </c>
      <c r="D31" s="1">
        <v>278.73410034179699</v>
      </c>
      <c r="E31" s="1">
        <v>77.2882080078125</v>
      </c>
      <c r="F31" s="1">
        <v>0.96610254049301103</v>
      </c>
      <c r="G31" s="1">
        <v>0.96610254049301103</v>
      </c>
      <c r="H31" s="3">
        <f t="shared" si="0"/>
        <v>0.27728292990716968</v>
      </c>
      <c r="I31" s="4">
        <f t="shared" si="1"/>
        <v>0.9875000007711997</v>
      </c>
      <c r="J31" s="3">
        <v>0</v>
      </c>
      <c r="K31" s="8">
        <v>7.3862315155565697E-2</v>
      </c>
      <c r="L31" s="8">
        <v>1.0834999999999999</v>
      </c>
      <c r="M31" s="8">
        <v>1.0243956744670799</v>
      </c>
      <c r="N31" s="8">
        <v>1.35</v>
      </c>
      <c r="O31" s="8">
        <v>0.9830000000000001</v>
      </c>
      <c r="P31" s="8">
        <f t="shared" si="3"/>
        <v>1.1191318914890267</v>
      </c>
      <c r="Q31" s="11">
        <v>5</v>
      </c>
    </row>
    <row r="32" spans="1:17" x14ac:dyDescent="0.15">
      <c r="A32" s="1" t="s">
        <v>22</v>
      </c>
      <c r="B32" s="1">
        <v>51</v>
      </c>
      <c r="C32" s="1" t="s">
        <v>38</v>
      </c>
      <c r="D32" s="1">
        <v>335.53350830078102</v>
      </c>
      <c r="E32" s="1">
        <v>27.0293998718262</v>
      </c>
      <c r="F32" s="1">
        <v>27.0293998718262</v>
      </c>
      <c r="G32" s="1">
        <v>19.5291862487793</v>
      </c>
      <c r="H32" s="5">
        <f t="shared" si="0"/>
        <v>8.0556484533271522E-2</v>
      </c>
      <c r="I32" s="3">
        <f t="shared" si="1"/>
        <v>0</v>
      </c>
      <c r="J32" s="6">
        <v>0</v>
      </c>
      <c r="K32" s="8">
        <v>0.85158559679985002</v>
      </c>
      <c r="L32" s="8">
        <v>1.052</v>
      </c>
      <c r="M32" s="8">
        <v>0.245543323457241</v>
      </c>
      <c r="N32" s="8">
        <v>1.27</v>
      </c>
      <c r="O32" s="8">
        <v>0.3805</v>
      </c>
      <c r="P32" s="8">
        <f t="shared" si="3"/>
        <v>0.63201444115241368</v>
      </c>
      <c r="Q32" s="11">
        <v>1</v>
      </c>
    </row>
    <row r="33" spans="1:17" x14ac:dyDescent="0.15">
      <c r="A33" s="1" t="s">
        <v>23</v>
      </c>
      <c r="B33" s="1">
        <v>52</v>
      </c>
      <c r="C33" s="1" t="s">
        <v>38</v>
      </c>
      <c r="D33" s="1">
        <v>289.92440795898398</v>
      </c>
      <c r="E33" s="1">
        <v>108.31926727294901</v>
      </c>
      <c r="F33" s="1">
        <v>108.31926727294901</v>
      </c>
      <c r="G33" s="1">
        <v>108.31926727294901</v>
      </c>
      <c r="H33" s="3">
        <f t="shared" si="0"/>
        <v>0.37361210129046152</v>
      </c>
      <c r="I33" s="3">
        <f t="shared" si="1"/>
        <v>0</v>
      </c>
      <c r="J33" s="3">
        <v>0</v>
      </c>
      <c r="K33" s="8">
        <v>-4.9316303804516799E-2</v>
      </c>
      <c r="L33" s="8">
        <v>0.309</v>
      </c>
      <c r="M33" s="8">
        <v>0.43271055445075002</v>
      </c>
      <c r="N33" s="8">
        <v>0.17</v>
      </c>
      <c r="O33" s="8">
        <v>0.16499999999999998</v>
      </c>
      <c r="P33" s="8">
        <f t="shared" si="3"/>
        <v>0.25590351815025003</v>
      </c>
      <c r="Q33" s="11">
        <v>5</v>
      </c>
    </row>
    <row r="34" spans="1:17" x14ac:dyDescent="0.15">
      <c r="A34" s="1" t="s">
        <v>23</v>
      </c>
      <c r="B34" s="1">
        <v>53</v>
      </c>
      <c r="C34" s="1" t="s">
        <v>38</v>
      </c>
      <c r="D34" s="1">
        <v>295.24404907226602</v>
      </c>
      <c r="E34" s="1">
        <v>139.69248962402301</v>
      </c>
      <c r="F34" s="1">
        <v>59.101661682128899</v>
      </c>
      <c r="G34" s="1">
        <v>59.101661682128899</v>
      </c>
      <c r="H34" s="3">
        <f t="shared" ref="H34:H65" si="4">E34/D34</f>
        <v>0.4731424394936099</v>
      </c>
      <c r="I34" s="4">
        <f t="shared" ref="I34:I65" si="5">(E34-F34)/E34</f>
        <v>0.57691596848764903</v>
      </c>
      <c r="J34" s="3">
        <v>0</v>
      </c>
      <c r="K34" s="8">
        <v>0.61756953597068798</v>
      </c>
      <c r="L34" s="8">
        <v>0.64800000000000002</v>
      </c>
      <c r="M34" s="8">
        <v>0.83364964524904706</v>
      </c>
      <c r="N34" s="8">
        <v>0.78</v>
      </c>
      <c r="O34" s="8">
        <v>0.35899999999999999</v>
      </c>
      <c r="P34" s="8">
        <f t="shared" si="3"/>
        <v>0.65754988174968243</v>
      </c>
      <c r="Q34" s="11">
        <v>5</v>
      </c>
    </row>
    <row r="35" spans="1:17" x14ac:dyDescent="0.15">
      <c r="A35" s="1" t="s">
        <v>11</v>
      </c>
      <c r="B35" s="1">
        <v>54</v>
      </c>
      <c r="C35" s="1" t="s">
        <v>38</v>
      </c>
      <c r="D35" s="1">
        <v>246.63575744628901</v>
      </c>
      <c r="E35" s="1">
        <v>50.934127807617202</v>
      </c>
      <c r="F35" s="1">
        <v>5.8747377395629901</v>
      </c>
      <c r="G35" s="1">
        <v>5.8747377395629901</v>
      </c>
      <c r="H35" s="3">
        <f t="shared" si="4"/>
        <v>0.20651558531089864</v>
      </c>
      <c r="I35" s="4">
        <f t="shared" si="5"/>
        <v>0.88466008956210263</v>
      </c>
      <c r="J35" s="3">
        <v>0</v>
      </c>
      <c r="K35" s="8">
        <v>-0.21489641815423899</v>
      </c>
      <c r="L35" s="8">
        <v>-0.19450000000000001</v>
      </c>
      <c r="M35" s="8">
        <v>1.19043131669362</v>
      </c>
      <c r="N35" s="8">
        <v>0.37</v>
      </c>
      <c r="O35" s="8">
        <v>0.24199999999999999</v>
      </c>
      <c r="P35" s="8">
        <f t="shared" si="3"/>
        <v>0.60081043889787333</v>
      </c>
      <c r="Q35" s="11">
        <v>0</v>
      </c>
    </row>
    <row r="36" spans="1:17" x14ac:dyDescent="0.15">
      <c r="A36" s="1" t="s">
        <v>12</v>
      </c>
      <c r="B36" s="1">
        <v>55</v>
      </c>
      <c r="C36" s="1" t="s">
        <v>38</v>
      </c>
      <c r="D36" s="1">
        <v>350.15399169921898</v>
      </c>
      <c r="E36" s="1">
        <v>22.743064880371101</v>
      </c>
      <c r="F36" s="1">
        <v>22.743064880371101</v>
      </c>
      <c r="G36" s="1">
        <v>22.743064880371101</v>
      </c>
      <c r="H36" s="5">
        <f t="shared" si="4"/>
        <v>6.4951608205304462E-2</v>
      </c>
      <c r="I36" s="3">
        <f t="shared" si="5"/>
        <v>0</v>
      </c>
      <c r="J36" s="3">
        <v>0</v>
      </c>
      <c r="K36" s="8">
        <v>0.25872045010328198</v>
      </c>
      <c r="L36" s="8">
        <v>1.1895</v>
      </c>
      <c r="M36" s="8">
        <v>1.3258990844090801</v>
      </c>
      <c r="N36" s="8">
        <v>0.32</v>
      </c>
      <c r="O36" s="8">
        <v>0.19400000000000001</v>
      </c>
      <c r="P36" s="8">
        <f t="shared" si="3"/>
        <v>0.61329969480302671</v>
      </c>
      <c r="Q36" s="11">
        <v>3</v>
      </c>
    </row>
    <row r="37" spans="1:17" x14ac:dyDescent="0.15">
      <c r="A37" s="1" t="s">
        <v>14</v>
      </c>
      <c r="B37" s="1">
        <v>56</v>
      </c>
      <c r="C37" s="1" t="s">
        <v>38</v>
      </c>
      <c r="D37" s="1">
        <v>191.72100830078099</v>
      </c>
      <c r="E37" s="1">
        <v>40.2011528015137</v>
      </c>
      <c r="F37" s="1">
        <v>40.2011528015137</v>
      </c>
      <c r="G37" s="1">
        <v>40.2011528015137</v>
      </c>
      <c r="H37" s="3">
        <f t="shared" si="4"/>
        <v>0.20968569463417502</v>
      </c>
      <c r="I37" s="3">
        <f t="shared" si="5"/>
        <v>0</v>
      </c>
      <c r="J37" s="3">
        <v>0</v>
      </c>
      <c r="K37" s="8">
        <v>-0.85544461011886597</v>
      </c>
      <c r="L37" s="8">
        <v>0.83450000000000002</v>
      </c>
      <c r="M37" s="8">
        <v>0.30178660278518998</v>
      </c>
      <c r="N37" s="8">
        <v>0.19</v>
      </c>
      <c r="O37" s="8">
        <v>0.14850000000000002</v>
      </c>
      <c r="P37" s="8">
        <f t="shared" si="3"/>
        <v>0.21342886759506333</v>
      </c>
      <c r="Q37" s="11">
        <v>1</v>
      </c>
    </row>
    <row r="38" spans="1:17" x14ac:dyDescent="0.15">
      <c r="A38" s="1" t="s">
        <v>19</v>
      </c>
      <c r="B38" s="1">
        <v>57</v>
      </c>
      <c r="C38" s="1" t="s">
        <v>38</v>
      </c>
      <c r="D38" s="1">
        <v>259.41864013671898</v>
      </c>
      <c r="E38" s="1">
        <v>104.253799438477</v>
      </c>
      <c r="F38" s="1">
        <v>14.9982442855835</v>
      </c>
      <c r="G38" s="1">
        <v>14.9982442855835</v>
      </c>
      <c r="H38" s="3">
        <f t="shared" si="4"/>
        <v>0.40187474340137275</v>
      </c>
      <c r="I38" s="4">
        <f t="shared" si="5"/>
        <v>0.85613719244415287</v>
      </c>
      <c r="J38" s="3">
        <v>0</v>
      </c>
      <c r="K38" s="8">
        <v>-0.290293008089065</v>
      </c>
      <c r="L38" s="8">
        <v>8.1000000000000003E-2</v>
      </c>
      <c r="M38" s="8">
        <v>0.63143802682558703</v>
      </c>
      <c r="N38" s="8">
        <v>0.52</v>
      </c>
      <c r="O38" s="8">
        <v>0.35050000000000003</v>
      </c>
      <c r="P38" s="8">
        <f t="shared" si="3"/>
        <v>0.5006460089418624</v>
      </c>
      <c r="Q38" s="11">
        <v>2</v>
      </c>
    </row>
    <row r="39" spans="1:17" x14ac:dyDescent="0.15">
      <c r="A39" s="1" t="s">
        <v>15</v>
      </c>
      <c r="B39" s="1">
        <v>58</v>
      </c>
      <c r="C39" s="1" t="s">
        <v>38</v>
      </c>
      <c r="D39" s="1">
        <v>269.856689453125</v>
      </c>
      <c r="E39" s="1">
        <v>58.9322509765625</v>
      </c>
      <c r="F39" s="1">
        <v>0.72457689046859697</v>
      </c>
      <c r="G39" s="1">
        <v>0.72457689046859697</v>
      </c>
      <c r="H39" s="3">
        <f t="shared" si="4"/>
        <v>0.21838350976583526</v>
      </c>
      <c r="I39" s="4">
        <f t="shared" si="5"/>
        <v>0.98770491745246991</v>
      </c>
      <c r="J39" s="3">
        <v>0</v>
      </c>
      <c r="K39" s="8">
        <v>1.01502677798271</v>
      </c>
      <c r="L39" s="8">
        <v>0.1055</v>
      </c>
      <c r="M39" s="8">
        <v>1.4821592969819899</v>
      </c>
      <c r="N39" s="8">
        <v>1.24</v>
      </c>
      <c r="O39" s="8">
        <v>0.86650000000000005</v>
      </c>
      <c r="P39" s="8">
        <f t="shared" si="3"/>
        <v>1.1962197656606632</v>
      </c>
      <c r="Q39" s="11">
        <v>1</v>
      </c>
    </row>
    <row r="40" spans="1:17" x14ac:dyDescent="0.15">
      <c r="A40" s="1" t="s">
        <v>10</v>
      </c>
      <c r="B40" s="1">
        <v>59</v>
      </c>
      <c r="C40" s="1" t="s">
        <v>38</v>
      </c>
      <c r="D40" s="1">
        <v>299.84243774414102</v>
      </c>
      <c r="E40" s="1">
        <v>98.816650390625</v>
      </c>
      <c r="F40" s="1">
        <v>80.943756103515597</v>
      </c>
      <c r="G40" s="1">
        <v>80.943756103515597</v>
      </c>
      <c r="H40" s="3">
        <f t="shared" si="4"/>
        <v>0.32956192303554566</v>
      </c>
      <c r="I40" s="4">
        <f t="shared" si="5"/>
        <v>0.18086925853545277</v>
      </c>
      <c r="J40" s="3">
        <v>0</v>
      </c>
      <c r="K40" s="8">
        <v>-0.23334016650915099</v>
      </c>
      <c r="L40" s="8">
        <v>0.33850000000000002</v>
      </c>
      <c r="M40" s="8">
        <v>0.75613389412562004</v>
      </c>
      <c r="N40" s="8">
        <v>0.91</v>
      </c>
      <c r="O40" s="8">
        <v>0.1275</v>
      </c>
      <c r="P40" s="8">
        <f t="shared" si="3"/>
        <v>0.59787796470854004</v>
      </c>
      <c r="Q40" s="11">
        <v>3</v>
      </c>
    </row>
    <row r="41" spans="1:17" x14ac:dyDescent="0.15">
      <c r="A41" s="1" t="s">
        <v>19</v>
      </c>
      <c r="B41" s="1">
        <v>60</v>
      </c>
      <c r="C41" s="1" t="s">
        <v>38</v>
      </c>
      <c r="D41" s="1">
        <v>254.85658264160199</v>
      </c>
      <c r="E41" s="1">
        <v>85.983123779296903</v>
      </c>
      <c r="F41" s="1">
        <v>64.970397949218693</v>
      </c>
      <c r="G41" s="1">
        <v>64.970397949218693</v>
      </c>
      <c r="H41" s="3">
        <f t="shared" si="4"/>
        <v>0.33737846944378391</v>
      </c>
      <c r="I41" s="4">
        <f t="shared" si="5"/>
        <v>0.2443819776077695</v>
      </c>
      <c r="J41" s="3">
        <v>0</v>
      </c>
      <c r="K41" s="8">
        <v>-0.75060507655143704</v>
      </c>
      <c r="L41" s="8">
        <v>-7.2499999999999995E-2</v>
      </c>
      <c r="M41" s="8">
        <v>7.7325493718187005E-2</v>
      </c>
      <c r="N41" s="8">
        <v>0.33</v>
      </c>
      <c r="O41" s="8">
        <v>0.10050000000000001</v>
      </c>
      <c r="P41" s="8">
        <f t="shared" si="3"/>
        <v>0.16927516457272904</v>
      </c>
      <c r="Q41" s="11">
        <v>3</v>
      </c>
    </row>
    <row r="42" spans="1:17" x14ac:dyDescent="0.15">
      <c r="A42" s="1" t="s">
        <v>17</v>
      </c>
      <c r="B42" s="1">
        <v>61</v>
      </c>
      <c r="C42" s="1" t="s">
        <v>38</v>
      </c>
      <c r="D42" s="1">
        <v>307.01846313476602</v>
      </c>
      <c r="E42" s="1">
        <v>91.160514831542997</v>
      </c>
      <c r="F42" s="1">
        <v>22.0841884613037</v>
      </c>
      <c r="G42" s="1">
        <v>22.0841884613037</v>
      </c>
      <c r="H42" s="3">
        <f t="shared" si="4"/>
        <v>0.2969219306902986</v>
      </c>
      <c r="I42" s="4">
        <f t="shared" si="5"/>
        <v>0.75774392562269499</v>
      </c>
      <c r="J42" s="3">
        <v>0</v>
      </c>
      <c r="K42" s="8">
        <v>2.5303953886031998</v>
      </c>
      <c r="L42" s="8">
        <v>0.4375</v>
      </c>
      <c r="M42" s="8">
        <v>2.2490670482317601</v>
      </c>
      <c r="N42" s="8">
        <v>1.9699999999999998</v>
      </c>
      <c r="O42" s="8">
        <v>0.98499999999999999</v>
      </c>
      <c r="P42" s="8">
        <f t="shared" si="3"/>
        <v>1.7346890160772535</v>
      </c>
      <c r="Q42" s="11">
        <v>5</v>
      </c>
    </row>
    <row r="43" spans="1:17" x14ac:dyDescent="0.15">
      <c r="A43" s="1" t="s">
        <v>15</v>
      </c>
      <c r="B43" s="1">
        <v>62</v>
      </c>
      <c r="C43" s="1" t="s">
        <v>38</v>
      </c>
      <c r="D43" s="1">
        <v>277.91470336914102</v>
      </c>
      <c r="E43" s="1">
        <v>76.322097778320298</v>
      </c>
      <c r="F43" s="1">
        <v>0</v>
      </c>
      <c r="G43" s="1">
        <v>0</v>
      </c>
      <c r="H43" s="3">
        <f t="shared" si="4"/>
        <v>0.27462418091980273</v>
      </c>
      <c r="I43" s="4">
        <f t="shared" si="5"/>
        <v>1</v>
      </c>
      <c r="J43" s="3">
        <v>0</v>
      </c>
      <c r="K43" s="8">
        <v>0.38311509788036302</v>
      </c>
      <c r="L43" s="8">
        <v>0.48949999999999999</v>
      </c>
      <c r="M43" s="8">
        <v>1.90745157003402</v>
      </c>
      <c r="N43" s="8">
        <v>1.2150000000000001</v>
      </c>
      <c r="O43" s="8">
        <v>0.93100000000000005</v>
      </c>
      <c r="P43" s="8">
        <f t="shared" si="3"/>
        <v>1.3511505233446732</v>
      </c>
      <c r="Q43" s="11">
        <v>0</v>
      </c>
    </row>
    <row r="44" spans="1:17" x14ac:dyDescent="0.15">
      <c r="A44" s="1" t="s">
        <v>23</v>
      </c>
      <c r="B44" s="1">
        <v>63</v>
      </c>
      <c r="C44" s="1" t="s">
        <v>38</v>
      </c>
      <c r="D44" s="1">
        <v>300.62808227539102</v>
      </c>
      <c r="E44" s="1">
        <v>76.792282104492202</v>
      </c>
      <c r="F44" s="1">
        <v>50.7470092773438</v>
      </c>
      <c r="G44" s="1">
        <v>50.7470092773438</v>
      </c>
      <c r="H44" s="3">
        <f t="shared" si="4"/>
        <v>0.25543948364127361</v>
      </c>
      <c r="I44" s="4">
        <f t="shared" si="5"/>
        <v>0.33916524048221774</v>
      </c>
      <c r="J44" s="3">
        <v>0</v>
      </c>
      <c r="K44" s="8">
        <v>-3.3214214956387801E-2</v>
      </c>
      <c r="L44" s="8">
        <v>0.34949999999999998</v>
      </c>
      <c r="M44" s="8">
        <v>0.28715814432750097</v>
      </c>
      <c r="N44" s="8">
        <v>0.76500000000000001</v>
      </c>
      <c r="O44" s="8">
        <v>0.22750000000000001</v>
      </c>
      <c r="P44" s="8">
        <f t="shared" si="3"/>
        <v>0.42655271477583367</v>
      </c>
      <c r="Q44" s="11">
        <v>6</v>
      </c>
    </row>
    <row r="45" spans="1:17" x14ac:dyDescent="0.15">
      <c r="A45" s="1" t="s">
        <v>21</v>
      </c>
      <c r="B45" s="1">
        <v>64</v>
      </c>
      <c r="C45" s="1" t="s">
        <v>38</v>
      </c>
      <c r="D45" s="1">
        <v>258.46197509765602</v>
      </c>
      <c r="E45" s="1">
        <v>52.392303466796903</v>
      </c>
      <c r="F45" s="1">
        <v>52.392303466796903</v>
      </c>
      <c r="G45" s="1">
        <v>52.392303466796903</v>
      </c>
      <c r="H45" s="3">
        <f t="shared" si="4"/>
        <v>0.20270797453668474</v>
      </c>
      <c r="I45" s="3">
        <f t="shared" si="5"/>
        <v>0</v>
      </c>
      <c r="J45" s="3">
        <v>0</v>
      </c>
      <c r="K45" s="8">
        <v>-0.39587093889713199</v>
      </c>
      <c r="L45" s="8">
        <v>0.499</v>
      </c>
      <c r="M45" s="8">
        <v>0.29385736833016102</v>
      </c>
      <c r="N45" s="8">
        <v>0.24</v>
      </c>
      <c r="O45" s="8">
        <v>0.33050000000000002</v>
      </c>
      <c r="P45" s="8">
        <f t="shared" si="3"/>
        <v>0.28811912277672036</v>
      </c>
      <c r="Q45" s="11">
        <v>2</v>
      </c>
    </row>
    <row r="46" spans="1:17" x14ac:dyDescent="0.15">
      <c r="A46" s="1" t="s">
        <v>19</v>
      </c>
      <c r="B46" s="1">
        <v>65</v>
      </c>
      <c r="C46" s="1" t="s">
        <v>38</v>
      </c>
      <c r="D46" s="1">
        <v>248.92175292968699</v>
      </c>
      <c r="E46" s="1">
        <v>11.1101789474487</v>
      </c>
      <c r="F46" s="1">
        <v>1.4491537809371899</v>
      </c>
      <c r="G46" s="1">
        <v>1.4491537809371899</v>
      </c>
      <c r="H46" s="5">
        <f t="shared" si="4"/>
        <v>4.4633218337438739E-2</v>
      </c>
      <c r="I46" s="4">
        <f t="shared" si="5"/>
        <v>0.86956521692479416</v>
      </c>
      <c r="J46" s="3">
        <v>0</v>
      </c>
      <c r="K46" s="8">
        <v>1.3347286581993001</v>
      </c>
      <c r="L46" s="8">
        <v>0.65100000000000002</v>
      </c>
      <c r="M46" s="8">
        <v>1.1797907451788501</v>
      </c>
      <c r="N46" s="8">
        <v>0.43</v>
      </c>
      <c r="O46" s="8">
        <v>0.78549999999999998</v>
      </c>
      <c r="P46" s="8">
        <f t="shared" si="3"/>
        <v>0.79843024839294996</v>
      </c>
      <c r="Q46" s="11">
        <v>4</v>
      </c>
    </row>
    <row r="47" spans="1:17" x14ac:dyDescent="0.15">
      <c r="A47" s="1" t="s">
        <v>24</v>
      </c>
      <c r="B47" s="1">
        <v>66</v>
      </c>
      <c r="C47" s="1" t="s">
        <v>38</v>
      </c>
      <c r="D47" s="1">
        <v>284.61361694335898</v>
      </c>
      <c r="E47" s="1">
        <v>85.500076293945298</v>
      </c>
      <c r="F47" s="1">
        <v>3.6228845119476301</v>
      </c>
      <c r="G47" s="1">
        <v>3.6228845119476301</v>
      </c>
      <c r="H47" s="3">
        <f t="shared" si="4"/>
        <v>0.30040753921819802</v>
      </c>
      <c r="I47" s="4">
        <f t="shared" si="5"/>
        <v>0.95762711954206536</v>
      </c>
      <c r="J47" s="3">
        <v>0</v>
      </c>
      <c r="K47" s="8">
        <v>4.0462113916873502E-2</v>
      </c>
      <c r="L47" s="8">
        <v>6.0999999999999999E-2</v>
      </c>
      <c r="M47" s="8">
        <v>1.62082361181576</v>
      </c>
      <c r="N47" s="8">
        <v>1.375</v>
      </c>
      <c r="O47" s="8">
        <v>1.3780000000000001</v>
      </c>
      <c r="P47" s="8">
        <f t="shared" si="3"/>
        <v>1.4579412039385868</v>
      </c>
      <c r="Q47" s="11">
        <v>0</v>
      </c>
    </row>
    <row r="48" spans="1:17" x14ac:dyDescent="0.15">
      <c r="A48" s="1" t="s">
        <v>12</v>
      </c>
      <c r="B48" s="1">
        <v>67</v>
      </c>
      <c r="C48" s="1" t="s">
        <v>38</v>
      </c>
      <c r="D48" s="1">
        <v>337.17630004882801</v>
      </c>
      <c r="E48" s="1">
        <v>134.34593200683599</v>
      </c>
      <c r="F48" s="1">
        <v>98.893753051757798</v>
      </c>
      <c r="G48" s="1">
        <v>98.893753051757798</v>
      </c>
      <c r="H48" s="3">
        <f t="shared" si="4"/>
        <v>0.39844417293677153</v>
      </c>
      <c r="I48" s="4">
        <f t="shared" si="5"/>
        <v>0.26388725304517791</v>
      </c>
      <c r="J48" s="3">
        <v>0</v>
      </c>
      <c r="K48" s="8">
        <v>0.48071968555450401</v>
      </c>
      <c r="L48" s="8">
        <v>0.44600000000000001</v>
      </c>
      <c r="M48" s="8">
        <v>0.45548921326796199</v>
      </c>
      <c r="N48" s="8">
        <v>1.24</v>
      </c>
      <c r="O48" s="8">
        <v>0.2515</v>
      </c>
      <c r="P48" s="8">
        <f t="shared" si="3"/>
        <v>0.64899640442265405</v>
      </c>
      <c r="Q48" s="11">
        <v>4</v>
      </c>
    </row>
    <row r="49" spans="1:17" x14ac:dyDescent="0.15">
      <c r="A49" s="1" t="s">
        <v>25</v>
      </c>
      <c r="B49" s="1">
        <v>68</v>
      </c>
      <c r="C49" s="1" t="s">
        <v>38</v>
      </c>
      <c r="D49" s="1">
        <v>268.56134033203102</v>
      </c>
      <c r="E49" s="1">
        <v>34.321083068847699</v>
      </c>
      <c r="F49" s="1">
        <v>17.143346786498999</v>
      </c>
      <c r="G49" s="1">
        <v>17.143346786498999</v>
      </c>
      <c r="H49" s="5">
        <f t="shared" si="4"/>
        <v>0.12779606709742899</v>
      </c>
      <c r="I49" s="4">
        <f t="shared" si="5"/>
        <v>0.50050099665824521</v>
      </c>
      <c r="J49" s="3">
        <v>0</v>
      </c>
      <c r="K49" s="8">
        <v>1.42192667722701</v>
      </c>
      <c r="L49" s="8">
        <v>0.84</v>
      </c>
      <c r="M49" s="8">
        <v>1.9909677902857399</v>
      </c>
      <c r="N49" s="8">
        <v>1.1000000000000001</v>
      </c>
      <c r="O49" s="8">
        <v>1.512</v>
      </c>
      <c r="P49" s="8">
        <f t="shared" si="3"/>
        <v>1.5343225967619134</v>
      </c>
      <c r="Q49" s="11">
        <v>11</v>
      </c>
    </row>
    <row r="50" spans="1:17" x14ac:dyDescent="0.15">
      <c r="A50" s="1" t="s">
        <v>9</v>
      </c>
      <c r="B50" s="1">
        <v>69</v>
      </c>
      <c r="C50" s="1" t="s">
        <v>38</v>
      </c>
      <c r="D50" s="1">
        <v>212.89254760742199</v>
      </c>
      <c r="E50" s="1">
        <v>2.65678191184998</v>
      </c>
      <c r="F50" s="1">
        <v>2.1737306118011501</v>
      </c>
      <c r="G50" s="1">
        <v>2.1737306118011501</v>
      </c>
      <c r="H50" s="5">
        <f t="shared" si="4"/>
        <v>1.2479450040445463E-2</v>
      </c>
      <c r="I50" s="4">
        <f t="shared" si="5"/>
        <v>0.18181819813447536</v>
      </c>
      <c r="J50" s="3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f t="shared" si="3"/>
        <v>0</v>
      </c>
      <c r="Q50" s="11">
        <v>2</v>
      </c>
    </row>
    <row r="51" spans="1:17" x14ac:dyDescent="0.15">
      <c r="A51" s="1" t="s">
        <v>19</v>
      </c>
      <c r="B51" s="1">
        <v>70</v>
      </c>
      <c r="C51" s="1" t="s">
        <v>38</v>
      </c>
      <c r="D51" s="1">
        <v>248.751541137695</v>
      </c>
      <c r="E51" s="1">
        <v>43.716140747070298</v>
      </c>
      <c r="F51" s="1">
        <v>5.3135638236999503</v>
      </c>
      <c r="G51" s="1">
        <v>5.3135638236999503</v>
      </c>
      <c r="H51" s="5">
        <f t="shared" si="4"/>
        <v>0.1757421905694706</v>
      </c>
      <c r="I51" s="4">
        <f t="shared" si="5"/>
        <v>0.87845304427847859</v>
      </c>
      <c r="J51" s="3">
        <v>0</v>
      </c>
      <c r="K51" s="8">
        <v>0.32661108672618799</v>
      </c>
      <c r="L51" s="8">
        <v>0.44</v>
      </c>
      <c r="M51" s="8">
        <v>0.16115726778904599</v>
      </c>
      <c r="N51" s="8">
        <v>0.79499999999999993</v>
      </c>
      <c r="O51" s="8">
        <v>0.63600000000000001</v>
      </c>
      <c r="P51" s="8">
        <f t="shared" si="3"/>
        <v>0.53071908926301525</v>
      </c>
      <c r="Q51" s="11">
        <v>1</v>
      </c>
    </row>
    <row r="52" spans="1:17" x14ac:dyDescent="0.15">
      <c r="A52" s="1" t="s">
        <v>11</v>
      </c>
      <c r="B52" s="1">
        <v>71</v>
      </c>
      <c r="C52" s="1" t="s">
        <v>38</v>
      </c>
      <c r="D52" s="1">
        <v>245.387619018555</v>
      </c>
      <c r="E52" s="1">
        <v>83.466880798339801</v>
      </c>
      <c r="F52" s="1">
        <v>28.5151271820068</v>
      </c>
      <c r="G52" s="1">
        <v>28.5151271820068</v>
      </c>
      <c r="H52" s="3">
        <f t="shared" si="4"/>
        <v>0.3401429996027161</v>
      </c>
      <c r="I52" s="4">
        <f t="shared" si="5"/>
        <v>0.65836596612612386</v>
      </c>
      <c r="J52" s="3">
        <v>0</v>
      </c>
      <c r="K52" s="8">
        <v>2.1021695225499501E-2</v>
      </c>
      <c r="L52" s="8">
        <v>0.59550000000000003</v>
      </c>
      <c r="M52" s="8">
        <v>0.90799903869628895</v>
      </c>
      <c r="N52" s="8">
        <v>0.5</v>
      </c>
      <c r="O52" s="8">
        <v>1.0565</v>
      </c>
      <c r="P52" s="8">
        <f t="shared" si="3"/>
        <v>0.82149967956542957</v>
      </c>
      <c r="Q52" s="11">
        <v>2</v>
      </c>
    </row>
    <row r="53" spans="1:17" x14ac:dyDescent="0.15">
      <c r="A53" s="1" t="s">
        <v>22</v>
      </c>
      <c r="B53" s="1">
        <v>72</v>
      </c>
      <c r="C53" s="1" t="s">
        <v>38</v>
      </c>
      <c r="D53" s="1">
        <v>345.91448974609398</v>
      </c>
      <c r="E53" s="1">
        <v>87.881721496582003</v>
      </c>
      <c r="F53" s="1">
        <v>7.8542532920837402</v>
      </c>
      <c r="G53" s="1">
        <v>7.8542532920837402</v>
      </c>
      <c r="H53" s="3">
        <f t="shared" si="4"/>
        <v>0.25405620204313617</v>
      </c>
      <c r="I53" s="4">
        <f t="shared" si="5"/>
        <v>0.91062699776097111</v>
      </c>
      <c r="J53" s="3">
        <v>0</v>
      </c>
      <c r="K53" s="8">
        <v>0.82083797454833995</v>
      </c>
      <c r="L53" s="8">
        <v>2.3334999999999999</v>
      </c>
      <c r="M53" s="8">
        <v>2.3059396346410002</v>
      </c>
      <c r="N53" s="8">
        <v>1.59</v>
      </c>
      <c r="O53" s="8">
        <v>2.57</v>
      </c>
      <c r="P53" s="8">
        <f t="shared" si="3"/>
        <v>2.155313211547</v>
      </c>
      <c r="Q53" s="11">
        <v>1</v>
      </c>
    </row>
    <row r="54" spans="1:17" x14ac:dyDescent="0.15">
      <c r="A54" s="1" t="s">
        <v>11</v>
      </c>
      <c r="B54" s="1">
        <v>73</v>
      </c>
      <c r="C54" s="1" t="s">
        <v>38</v>
      </c>
      <c r="D54" s="1">
        <v>251.23902893066401</v>
      </c>
      <c r="E54" s="1">
        <v>4.3474612236022896</v>
      </c>
      <c r="F54" s="1">
        <v>0.96610254049301103</v>
      </c>
      <c r="G54" s="1">
        <v>0.96610254049301103</v>
      </c>
      <c r="H54" s="5">
        <f t="shared" si="4"/>
        <v>1.7304083852362307E-2</v>
      </c>
      <c r="I54" s="4">
        <f t="shared" si="5"/>
        <v>0.77777776711427404</v>
      </c>
      <c r="J54" s="3">
        <v>0</v>
      </c>
      <c r="K54" s="8">
        <v>-1.8140631914138701</v>
      </c>
      <c r="L54" s="8">
        <v>0.23649999999999999</v>
      </c>
      <c r="M54" s="8">
        <v>0.19439967597524299</v>
      </c>
      <c r="N54" s="8">
        <v>0.52</v>
      </c>
      <c r="O54" s="8">
        <v>0.33550000000000002</v>
      </c>
      <c r="P54" s="8">
        <f t="shared" si="3"/>
        <v>0.34996655865841436</v>
      </c>
      <c r="Q54" s="11">
        <v>3</v>
      </c>
    </row>
    <row r="55" spans="1:17" x14ac:dyDescent="0.15">
      <c r="A55" s="1" t="s">
        <v>23</v>
      </c>
      <c r="B55" s="1">
        <v>74</v>
      </c>
      <c r="C55" s="1" t="s">
        <v>38</v>
      </c>
      <c r="D55" s="1">
        <v>299.78436279296898</v>
      </c>
      <c r="E55" s="1">
        <v>136.95674133300801</v>
      </c>
      <c r="F55" s="1">
        <v>95.382728576660199</v>
      </c>
      <c r="G55" s="1">
        <v>95.382728576660199</v>
      </c>
      <c r="H55" s="3">
        <f t="shared" si="4"/>
        <v>0.45685085124867009</v>
      </c>
      <c r="I55" s="4">
        <f t="shared" si="5"/>
        <v>0.3035557969013099</v>
      </c>
      <c r="J55" s="3">
        <v>0</v>
      </c>
      <c r="K55" s="8">
        <v>-9.1735877096652998E-2</v>
      </c>
      <c r="L55" s="8">
        <v>0.46350000000000002</v>
      </c>
      <c r="M55" s="8">
        <v>0.40317236880461299</v>
      </c>
      <c r="N55" s="8">
        <v>0.39</v>
      </c>
      <c r="O55" s="8">
        <v>0.42249999999999999</v>
      </c>
      <c r="P55" s="8">
        <f t="shared" si="3"/>
        <v>0.40522412293487103</v>
      </c>
      <c r="Q55" s="11">
        <v>3</v>
      </c>
    </row>
    <row r="56" spans="1:17" x14ac:dyDescent="0.15">
      <c r="A56" s="1" t="s">
        <v>20</v>
      </c>
      <c r="B56" s="1">
        <v>75</v>
      </c>
      <c r="C56" s="1" t="s">
        <v>38</v>
      </c>
      <c r="D56" s="1">
        <v>295.06115722656301</v>
      </c>
      <c r="E56" s="1">
        <v>162.67573547363301</v>
      </c>
      <c r="F56" s="1">
        <v>9.2113285064697301</v>
      </c>
      <c r="G56" s="1">
        <v>9.2113285064697301</v>
      </c>
      <c r="H56" s="3">
        <f t="shared" si="4"/>
        <v>0.55132887365693573</v>
      </c>
      <c r="I56" s="4">
        <f t="shared" si="5"/>
        <v>0.94337613732219627</v>
      </c>
      <c r="J56" s="3">
        <v>0</v>
      </c>
      <c r="K56" s="8">
        <v>-0.16256903856992699</v>
      </c>
      <c r="L56" s="8">
        <v>1.3634999999999999</v>
      </c>
      <c r="M56" s="8">
        <v>0.64764332026243199</v>
      </c>
      <c r="N56" s="8">
        <v>0.48</v>
      </c>
      <c r="O56" s="8">
        <v>0.96450000000000002</v>
      </c>
      <c r="P56" s="8">
        <f t="shared" si="3"/>
        <v>0.69738110675414411</v>
      </c>
      <c r="Q56" s="11">
        <v>3</v>
      </c>
    </row>
    <row r="57" spans="1:17" x14ac:dyDescent="0.15">
      <c r="A57" s="1" t="s">
        <v>9</v>
      </c>
      <c r="B57" s="1">
        <v>76</v>
      </c>
      <c r="C57" s="1" t="s">
        <v>38</v>
      </c>
      <c r="D57" s="1">
        <v>208.29948425293</v>
      </c>
      <c r="E57" s="1">
        <v>52.585990905761697</v>
      </c>
      <c r="F57" s="1">
        <v>27.467323303222699</v>
      </c>
      <c r="G57" s="1">
        <v>27.467323303222699</v>
      </c>
      <c r="H57" s="3">
        <f t="shared" si="4"/>
        <v>0.25245377392249596</v>
      </c>
      <c r="I57" s="4">
        <f t="shared" si="5"/>
        <v>0.47766842784333302</v>
      </c>
      <c r="J57" s="3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f t="shared" si="3"/>
        <v>0</v>
      </c>
      <c r="Q57" s="11">
        <v>2</v>
      </c>
    </row>
    <row r="58" spans="1:17" x14ac:dyDescent="0.15">
      <c r="A58" s="1" t="s">
        <v>10</v>
      </c>
      <c r="B58" s="1">
        <v>77</v>
      </c>
      <c r="C58" s="1" t="s">
        <v>42</v>
      </c>
      <c r="D58" s="1">
        <v>312.15362548828102</v>
      </c>
      <c r="E58" s="1">
        <v>180.70007324218699</v>
      </c>
      <c r="F58" s="1">
        <v>151.90065002441401</v>
      </c>
      <c r="G58" s="1">
        <v>130.09918212890599</v>
      </c>
      <c r="H58" s="3">
        <f t="shared" si="4"/>
        <v>0.57888186613091541</v>
      </c>
      <c r="I58" s="4">
        <f t="shared" si="5"/>
        <v>0.15937693162511321</v>
      </c>
      <c r="J58" s="6">
        <v>0</v>
      </c>
      <c r="K58" s="8">
        <v>0.50653953850269295</v>
      </c>
      <c r="L58" s="8">
        <v>1.4595</v>
      </c>
      <c r="M58" s="8">
        <v>0.26237846693644901</v>
      </c>
      <c r="N58" s="8">
        <v>0.37</v>
      </c>
      <c r="O58" s="8">
        <v>0.14899999999999999</v>
      </c>
      <c r="P58" s="8">
        <f t="shared" si="3"/>
        <v>0.26045948897881632</v>
      </c>
      <c r="Q58" s="11">
        <v>0</v>
      </c>
    </row>
    <row r="59" spans="1:17" x14ac:dyDescent="0.15">
      <c r="A59" s="1" t="s">
        <v>12</v>
      </c>
      <c r="B59" s="1">
        <v>78</v>
      </c>
      <c r="C59" s="1" t="s">
        <v>42</v>
      </c>
      <c r="D59" s="1">
        <v>334.98550415039102</v>
      </c>
      <c r="E59" s="1">
        <v>91.032310485839801</v>
      </c>
      <c r="F59" s="1">
        <v>85.381057739257798</v>
      </c>
      <c r="G59" s="1">
        <v>51.900230407714801</v>
      </c>
      <c r="H59" s="3">
        <f t="shared" si="4"/>
        <v>0.27174999920286413</v>
      </c>
      <c r="I59" s="4">
        <f t="shared" si="5"/>
        <v>6.2079636520497444E-2</v>
      </c>
      <c r="J59" s="6">
        <v>0</v>
      </c>
      <c r="K59" s="8">
        <v>1.6025803089141799</v>
      </c>
      <c r="L59" s="8">
        <v>1.3485</v>
      </c>
      <c r="M59" s="8">
        <v>0.36923316990335697</v>
      </c>
      <c r="N59" s="8">
        <v>1.05</v>
      </c>
      <c r="O59" s="8">
        <v>0.872</v>
      </c>
      <c r="P59" s="8">
        <f t="shared" si="3"/>
        <v>0.7637443899677856</v>
      </c>
      <c r="Q59" s="11">
        <v>3</v>
      </c>
    </row>
    <row r="60" spans="1:17" x14ac:dyDescent="0.15">
      <c r="A60" s="1" t="s">
        <v>10</v>
      </c>
      <c r="B60" s="1">
        <v>79</v>
      </c>
      <c r="C60" s="1" t="s">
        <v>41</v>
      </c>
      <c r="D60" s="1">
        <v>298.31570434570301</v>
      </c>
      <c r="E60" s="1">
        <v>191.99475097656199</v>
      </c>
      <c r="F60" s="1">
        <v>123.72476196289099</v>
      </c>
      <c r="G60" s="1">
        <v>88.855041503906193</v>
      </c>
      <c r="H60" s="3">
        <f t="shared" si="4"/>
        <v>0.64359585559756172</v>
      </c>
      <c r="I60" s="4">
        <f t="shared" si="5"/>
        <v>0.35558258059880576</v>
      </c>
      <c r="J60" s="6">
        <v>0</v>
      </c>
      <c r="K60" s="8">
        <v>-6.8801548331975895E-2</v>
      </c>
      <c r="L60" s="8">
        <v>1.5645</v>
      </c>
      <c r="M60" s="8">
        <v>0.105498805642128</v>
      </c>
      <c r="N60" s="8">
        <v>0.79500000000000004</v>
      </c>
      <c r="O60" s="8">
        <v>0.1305</v>
      </c>
      <c r="P60" s="8">
        <f t="shared" si="3"/>
        <v>0.34366626854737597</v>
      </c>
      <c r="Q60" s="11">
        <v>4</v>
      </c>
    </row>
    <row r="61" spans="1:17" x14ac:dyDescent="0.15">
      <c r="A61" s="1" t="s">
        <v>11</v>
      </c>
      <c r="B61" s="1">
        <v>80</v>
      </c>
      <c r="C61" s="1" t="s">
        <v>43</v>
      </c>
      <c r="D61" s="1">
        <v>238.96292114257801</v>
      </c>
      <c r="E61" s="1">
        <v>84.049819946289105</v>
      </c>
      <c r="F61" s="1">
        <v>43.362400054931598</v>
      </c>
      <c r="G61" s="1">
        <v>10.7016716003418</v>
      </c>
      <c r="H61" s="3">
        <f t="shared" si="4"/>
        <v>0.35172745438670172</v>
      </c>
      <c r="I61" s="4">
        <f t="shared" si="5"/>
        <v>0.48408693697807148</v>
      </c>
      <c r="J61" s="6">
        <v>0</v>
      </c>
      <c r="K61" s="8">
        <v>1.34578269720077</v>
      </c>
      <c r="L61" s="8">
        <v>1.9339999999999999</v>
      </c>
      <c r="M61" s="8">
        <v>0.32107623449216199</v>
      </c>
      <c r="N61" s="8">
        <v>0.38</v>
      </c>
      <c r="O61" s="8">
        <v>0.1835</v>
      </c>
      <c r="P61" s="8">
        <f t="shared" si="3"/>
        <v>0.29485874483072066</v>
      </c>
      <c r="Q61" s="11">
        <v>2</v>
      </c>
    </row>
    <row r="62" spans="1:17" x14ac:dyDescent="0.15">
      <c r="A62" s="1" t="s">
        <v>19</v>
      </c>
      <c r="B62" s="1">
        <v>81</v>
      </c>
      <c r="C62" s="1" t="s">
        <v>43</v>
      </c>
      <c r="D62" s="1">
        <v>247.00625610351599</v>
      </c>
      <c r="E62" s="1">
        <v>64.748733520507798</v>
      </c>
      <c r="F62" s="1">
        <v>0.48305127024650601</v>
      </c>
      <c r="G62" s="1">
        <v>0.48305127024650601</v>
      </c>
      <c r="H62" s="3">
        <f t="shared" si="4"/>
        <v>0.2621339821181401</v>
      </c>
      <c r="I62" s="4">
        <f t="shared" si="5"/>
        <v>0.99253960280020748</v>
      </c>
      <c r="J62" s="3">
        <v>0</v>
      </c>
      <c r="K62" s="8">
        <v>3.0579030513763299</v>
      </c>
      <c r="L62" s="8">
        <v>0.252</v>
      </c>
      <c r="M62" s="8">
        <v>0.834924757480621</v>
      </c>
      <c r="N62" s="8">
        <v>0.77500000000000002</v>
      </c>
      <c r="O62" s="8">
        <v>0.5625</v>
      </c>
      <c r="P62" s="8">
        <f t="shared" si="3"/>
        <v>0.7241415858268736</v>
      </c>
      <c r="Q62" s="11">
        <v>0</v>
      </c>
    </row>
    <row r="63" spans="1:17" x14ac:dyDescent="0.15">
      <c r="A63" s="1" t="s">
        <v>11</v>
      </c>
      <c r="B63" s="1">
        <v>82</v>
      </c>
      <c r="C63" s="1" t="s">
        <v>44</v>
      </c>
      <c r="D63" s="1">
        <v>247.44476318359401</v>
      </c>
      <c r="E63" s="1">
        <v>47.896621704101598</v>
      </c>
      <c r="F63" s="1">
        <v>26.4280700683594</v>
      </c>
      <c r="G63" s="1">
        <v>21.597558975219702</v>
      </c>
      <c r="H63" s="5">
        <f t="shared" si="4"/>
        <v>0.19356490348742697</v>
      </c>
      <c r="I63" s="4">
        <f t="shared" si="5"/>
        <v>0.44822684506585464</v>
      </c>
      <c r="J63" s="6">
        <v>0</v>
      </c>
      <c r="K63" s="8">
        <v>1.1109271049499401</v>
      </c>
      <c r="L63" s="8">
        <v>0.41749999999999998</v>
      </c>
      <c r="M63" s="8">
        <v>0.78000191847483302</v>
      </c>
      <c r="N63" s="8">
        <v>0.74</v>
      </c>
      <c r="O63" s="8">
        <v>0.58050000000000002</v>
      </c>
      <c r="P63" s="8">
        <f t="shared" si="3"/>
        <v>0.70016730615827771</v>
      </c>
      <c r="Q63" s="11">
        <v>1</v>
      </c>
    </row>
    <row r="64" spans="1:17" x14ac:dyDescent="0.15">
      <c r="A64" s="1" t="s">
        <v>9</v>
      </c>
      <c r="B64" s="1">
        <v>83</v>
      </c>
      <c r="C64" s="1" t="s">
        <v>44</v>
      </c>
      <c r="D64" s="1">
        <v>204.06536865234401</v>
      </c>
      <c r="E64" s="1">
        <v>43.556308746337898</v>
      </c>
      <c r="F64" s="1">
        <v>5.3135638236999503</v>
      </c>
      <c r="G64" s="1">
        <v>5.3135638236999503</v>
      </c>
      <c r="H64" s="3">
        <f t="shared" si="4"/>
        <v>0.21344292289272565</v>
      </c>
      <c r="I64" s="4">
        <f t="shared" si="5"/>
        <v>0.87800702179229773</v>
      </c>
      <c r="J64" s="3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f t="shared" si="3"/>
        <v>0</v>
      </c>
      <c r="Q64" s="11">
        <v>1</v>
      </c>
    </row>
    <row r="65" spans="1:17" x14ac:dyDescent="0.15">
      <c r="A65" s="1" t="s">
        <v>26</v>
      </c>
      <c r="B65" s="1">
        <v>84</v>
      </c>
      <c r="C65" s="1" t="s">
        <v>40</v>
      </c>
      <c r="D65" s="1">
        <v>288.60720825195301</v>
      </c>
      <c r="E65" s="1">
        <v>57.7987060546875</v>
      </c>
      <c r="F65" s="1">
        <v>57.7987060546875</v>
      </c>
      <c r="G65" s="1">
        <v>57.7987060546875</v>
      </c>
      <c r="H65" s="3">
        <f t="shared" si="4"/>
        <v>0.20026771474200133</v>
      </c>
      <c r="I65" s="3">
        <f t="shared" si="5"/>
        <v>0</v>
      </c>
      <c r="J65" s="3">
        <v>0</v>
      </c>
      <c r="K65" s="8">
        <v>-0.73770597577094998</v>
      </c>
      <c r="L65" s="8">
        <v>0.92300000000000004</v>
      </c>
      <c r="M65" s="8">
        <v>0.88458780447641905</v>
      </c>
      <c r="N65" s="8">
        <v>1.0150000000000001</v>
      </c>
      <c r="O65" s="8">
        <v>0.23250000000000001</v>
      </c>
      <c r="P65" s="8">
        <f t="shared" si="3"/>
        <v>0.710695934825473</v>
      </c>
      <c r="Q65" s="11">
        <v>2</v>
      </c>
    </row>
    <row r="66" spans="1:17" x14ac:dyDescent="0.15">
      <c r="A66" s="1" t="s">
        <v>25</v>
      </c>
      <c r="B66" s="1">
        <v>85</v>
      </c>
      <c r="C66" s="1" t="s">
        <v>40</v>
      </c>
      <c r="D66" s="1">
        <v>254.96560668945301</v>
      </c>
      <c r="E66" s="1">
        <v>4.2858366966247603</v>
      </c>
      <c r="F66" s="1">
        <v>4.2858366966247603</v>
      </c>
      <c r="G66" s="1">
        <v>4.2858366966247603</v>
      </c>
      <c r="H66" s="5">
        <f t="shared" ref="H66:H83" si="6">E66/D66</f>
        <v>1.6809469921348609E-2</v>
      </c>
      <c r="I66" s="3">
        <f t="shared" ref="I66:I83" si="7">(E66-F66)/E66</f>
        <v>0</v>
      </c>
      <c r="J66" s="3">
        <v>0</v>
      </c>
      <c r="K66" s="8">
        <v>3.9271637201309102</v>
      </c>
      <c r="L66" s="8">
        <v>0.51900000000000002</v>
      </c>
      <c r="M66" s="8">
        <v>1.1929852763811699</v>
      </c>
      <c r="N66" s="8">
        <v>1.1399999999999999</v>
      </c>
      <c r="O66" s="8">
        <v>2.2805</v>
      </c>
      <c r="P66" s="8">
        <f t="shared" si="3"/>
        <v>1.5378284254603898</v>
      </c>
      <c r="Q66" s="11">
        <v>4</v>
      </c>
    </row>
    <row r="67" spans="1:17" x14ac:dyDescent="0.15">
      <c r="A67" s="1" t="s">
        <v>19</v>
      </c>
      <c r="B67" s="1">
        <v>86</v>
      </c>
      <c r="C67" s="1" t="s">
        <v>40</v>
      </c>
      <c r="D67" s="1">
        <v>250.34519958496099</v>
      </c>
      <c r="E67" s="1">
        <v>44.199188232421903</v>
      </c>
      <c r="F67" s="1">
        <v>0.24152563512325301</v>
      </c>
      <c r="G67" s="1">
        <v>0.24152563512325301</v>
      </c>
      <c r="H67" s="5">
        <f t="shared" si="6"/>
        <v>0.17655296888335895</v>
      </c>
      <c r="I67" s="4">
        <f t="shared" si="7"/>
        <v>0.99453551875538559</v>
      </c>
      <c r="J67" s="3">
        <v>0</v>
      </c>
      <c r="K67" s="8">
        <v>2.6800192594528101</v>
      </c>
      <c r="L67" s="8">
        <v>2.109</v>
      </c>
      <c r="M67" s="8">
        <v>1.7801229556401501</v>
      </c>
      <c r="N67" s="8">
        <v>0.5</v>
      </c>
      <c r="O67" s="8">
        <v>1.335</v>
      </c>
      <c r="P67" s="8">
        <f t="shared" ref="P67:P83" si="8">AVERAGE(M67:O67)</f>
        <v>1.2050409852133834</v>
      </c>
      <c r="Q67" s="11">
        <v>0</v>
      </c>
    </row>
    <row r="68" spans="1:17" x14ac:dyDescent="0.15">
      <c r="A68" s="1" t="s">
        <v>19</v>
      </c>
      <c r="B68" s="1">
        <v>87</v>
      </c>
      <c r="C68" s="1" t="s">
        <v>40</v>
      </c>
      <c r="D68" s="1">
        <v>249.55697631835901</v>
      </c>
      <c r="E68" s="1">
        <v>19.104179382324201</v>
      </c>
      <c r="F68" s="1">
        <v>18.379602432251001</v>
      </c>
      <c r="G68" s="1">
        <v>18.379602432251001</v>
      </c>
      <c r="H68" s="5">
        <f t="shared" si="6"/>
        <v>7.6552375590386468E-2</v>
      </c>
      <c r="I68" s="4">
        <f t="shared" si="7"/>
        <v>3.7927666798585516E-2</v>
      </c>
      <c r="J68" s="3">
        <v>0</v>
      </c>
      <c r="K68" s="8">
        <v>-0.13075491040945</v>
      </c>
      <c r="L68" s="8">
        <v>0.57850000000000001</v>
      </c>
      <c r="M68" s="8">
        <v>1.2353999217351299</v>
      </c>
      <c r="N68" s="8">
        <v>0.67</v>
      </c>
      <c r="O68" s="8">
        <v>0.50900000000000001</v>
      </c>
      <c r="P68" s="8">
        <f t="shared" si="8"/>
        <v>0.80479997391170999</v>
      </c>
      <c r="Q68" s="11">
        <v>2</v>
      </c>
    </row>
    <row r="69" spans="1:17" x14ac:dyDescent="0.15">
      <c r="A69" s="1" t="s">
        <v>22</v>
      </c>
      <c r="B69" s="1">
        <v>88</v>
      </c>
      <c r="C69" s="1" t="s">
        <v>40</v>
      </c>
      <c r="D69" s="1">
        <v>337.05960083007801</v>
      </c>
      <c r="E69" s="1">
        <v>109.87705230712901</v>
      </c>
      <c r="F69" s="1">
        <v>47.697433471679702</v>
      </c>
      <c r="G69" s="1">
        <v>47.697433471679702</v>
      </c>
      <c r="H69" s="3">
        <f t="shared" si="6"/>
        <v>0.32598701249433143</v>
      </c>
      <c r="I69" s="4">
        <f t="shared" si="7"/>
        <v>0.56590177411789733</v>
      </c>
      <c r="J69" s="3">
        <v>0</v>
      </c>
      <c r="K69" s="8">
        <v>-0.38149924576282401</v>
      </c>
      <c r="L69" s="8">
        <v>0.93100000000000005</v>
      </c>
      <c r="M69" s="8">
        <v>1.3298679093519801</v>
      </c>
      <c r="N69" s="8">
        <v>1.42</v>
      </c>
      <c r="O69" s="8">
        <v>2.5759999999999996</v>
      </c>
      <c r="P69" s="8">
        <f t="shared" si="8"/>
        <v>1.7752893031173265</v>
      </c>
      <c r="Q69" s="11">
        <v>1</v>
      </c>
    </row>
    <row r="70" spans="1:17" x14ac:dyDescent="0.15">
      <c r="A70" s="1" t="s">
        <v>9</v>
      </c>
      <c r="B70" s="1">
        <v>89</v>
      </c>
      <c r="C70" s="1" t="s">
        <v>40</v>
      </c>
      <c r="D70" s="1">
        <v>210.22741699218699</v>
      </c>
      <c r="E70" s="1">
        <v>0</v>
      </c>
      <c r="F70" s="1">
        <v>0</v>
      </c>
      <c r="G70" s="1">
        <v>0</v>
      </c>
      <c r="H70" s="5">
        <f t="shared" si="6"/>
        <v>0</v>
      </c>
      <c r="I70" s="3">
        <v>0</v>
      </c>
      <c r="J70" s="3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f t="shared" si="8"/>
        <v>0</v>
      </c>
      <c r="Q70" s="11">
        <v>4</v>
      </c>
    </row>
    <row r="71" spans="1:17" x14ac:dyDescent="0.15">
      <c r="A71" s="1" t="s">
        <v>15</v>
      </c>
      <c r="B71" s="1">
        <v>90</v>
      </c>
      <c r="C71" s="1" t="s">
        <v>40</v>
      </c>
      <c r="D71" s="1">
        <v>285.08163452148398</v>
      </c>
      <c r="E71" s="1">
        <v>15.699165344238301</v>
      </c>
      <c r="F71" s="1">
        <v>0</v>
      </c>
      <c r="G71" s="1">
        <v>0</v>
      </c>
      <c r="H71" s="5">
        <f t="shared" si="6"/>
        <v>5.5069016882093119E-2</v>
      </c>
      <c r="I71" s="4">
        <f t="shared" si="7"/>
        <v>1</v>
      </c>
      <c r="J71" s="3">
        <v>0</v>
      </c>
      <c r="K71" s="8">
        <v>1.48111355304718</v>
      </c>
      <c r="L71" s="8">
        <v>0.1575</v>
      </c>
      <c r="M71" s="8">
        <v>1.7323988080024699</v>
      </c>
      <c r="N71" s="8">
        <v>0.81499999999999995</v>
      </c>
      <c r="O71" s="8">
        <v>0.84199999999999997</v>
      </c>
      <c r="P71" s="8">
        <f t="shared" si="8"/>
        <v>1.1297996026674899</v>
      </c>
      <c r="Q71" s="11">
        <v>1</v>
      </c>
    </row>
    <row r="72" spans="1:17" x14ac:dyDescent="0.15">
      <c r="A72" s="1" t="s">
        <v>10</v>
      </c>
      <c r="B72" s="1">
        <v>91</v>
      </c>
      <c r="C72" s="1" t="s">
        <v>40</v>
      </c>
      <c r="D72" s="1">
        <v>296.85342407226602</v>
      </c>
      <c r="E72" s="1">
        <v>120.802597045898</v>
      </c>
      <c r="F72" s="1">
        <v>89.899070739746094</v>
      </c>
      <c r="G72" s="1">
        <v>89.899070739746094</v>
      </c>
      <c r="H72" s="3">
        <f t="shared" si="6"/>
        <v>0.40694358646336448</v>
      </c>
      <c r="I72" s="4">
        <f t="shared" si="7"/>
        <v>0.25581839349372887</v>
      </c>
      <c r="J72" s="3">
        <f t="shared" ref="J72:J83" si="9">(F72-G72)/F72</f>
        <v>0</v>
      </c>
      <c r="K72" s="8">
        <v>0.386936485767364</v>
      </c>
      <c r="L72" s="8">
        <v>0.58750000000000002</v>
      </c>
      <c r="M72" s="8">
        <v>1.0922573953867001</v>
      </c>
      <c r="N72" s="8">
        <v>0.7</v>
      </c>
      <c r="O72" s="8">
        <v>0.33099999999999996</v>
      </c>
      <c r="P72" s="8">
        <f t="shared" si="8"/>
        <v>0.7077524651289</v>
      </c>
      <c r="Q72" s="11">
        <v>2</v>
      </c>
    </row>
    <row r="73" spans="1:17" x14ac:dyDescent="0.15">
      <c r="A73" s="1" t="s">
        <v>12</v>
      </c>
      <c r="B73" s="1">
        <v>92</v>
      </c>
      <c r="C73" s="1" t="s">
        <v>40</v>
      </c>
      <c r="D73" s="1">
        <v>323.54702758789102</v>
      </c>
      <c r="E73" s="1">
        <v>157.96789550781199</v>
      </c>
      <c r="F73" s="1">
        <v>74.698402404785199</v>
      </c>
      <c r="G73" s="1">
        <v>74.698402404785199</v>
      </c>
      <c r="H73" s="3">
        <f t="shared" si="6"/>
        <v>0.48823782028070173</v>
      </c>
      <c r="I73" s="4">
        <f t="shared" si="7"/>
        <v>0.52712921720799188</v>
      </c>
      <c r="J73" s="3">
        <f t="shared" si="9"/>
        <v>0</v>
      </c>
      <c r="K73" s="8">
        <v>0.95625677704811096</v>
      </c>
      <c r="L73" s="8">
        <v>0.32200000000000001</v>
      </c>
      <c r="M73" s="8">
        <v>1.3006738026936799</v>
      </c>
      <c r="N73" s="8">
        <v>0.67</v>
      </c>
      <c r="O73" s="8">
        <v>0.77350000000000008</v>
      </c>
      <c r="P73" s="8">
        <f t="shared" si="8"/>
        <v>0.91472460089789343</v>
      </c>
      <c r="Q73" s="11">
        <v>6</v>
      </c>
    </row>
    <row r="74" spans="1:17" x14ac:dyDescent="0.15">
      <c r="A74" s="1" t="s">
        <v>16</v>
      </c>
      <c r="B74" s="1">
        <v>93</v>
      </c>
      <c r="C74" s="1" t="s">
        <v>40</v>
      </c>
      <c r="D74" s="1">
        <v>277.57604980468801</v>
      </c>
      <c r="E74" s="1">
        <v>73.115310668945298</v>
      </c>
      <c r="F74" s="1">
        <v>73.115310668945298</v>
      </c>
      <c r="G74" s="1">
        <v>73.115310668945298</v>
      </c>
      <c r="H74" s="3">
        <f t="shared" si="6"/>
        <v>0.26340640959618716</v>
      </c>
      <c r="I74" s="3">
        <f t="shared" si="7"/>
        <v>0</v>
      </c>
      <c r="J74" s="3">
        <f t="shared" si="9"/>
        <v>0</v>
      </c>
      <c r="K74" s="8">
        <v>-0.25542397052049598</v>
      </c>
      <c r="L74" s="8">
        <v>-5.5500000000000001E-2</v>
      </c>
      <c r="M74" s="8">
        <v>4.1736782838900997E-2</v>
      </c>
      <c r="N74" s="8">
        <v>0.11</v>
      </c>
      <c r="O74" s="8">
        <v>0.27900000000000003</v>
      </c>
      <c r="P74" s="8">
        <f t="shared" si="8"/>
        <v>0.14357892761296701</v>
      </c>
      <c r="Q74" s="11">
        <v>2</v>
      </c>
    </row>
    <row r="75" spans="1:17" x14ac:dyDescent="0.15">
      <c r="A75" s="1" t="s">
        <v>14</v>
      </c>
      <c r="B75" s="1">
        <v>94</v>
      </c>
      <c r="C75" s="1" t="s">
        <v>40</v>
      </c>
      <c r="D75" s="1">
        <v>181.89404296875</v>
      </c>
      <c r="E75" s="1">
        <v>60.269683837890597</v>
      </c>
      <c r="F75" s="1">
        <v>35.006900787353501</v>
      </c>
      <c r="G75" s="1">
        <v>35.006900787353501</v>
      </c>
      <c r="H75" s="3">
        <f t="shared" si="6"/>
        <v>0.33134501193227711</v>
      </c>
      <c r="I75" s="4">
        <f t="shared" si="7"/>
        <v>0.41916236226636355</v>
      </c>
      <c r="J75" s="3">
        <f t="shared" si="9"/>
        <v>0</v>
      </c>
      <c r="K75" s="8">
        <v>0.89199641346931402</v>
      </c>
      <c r="L75" s="8">
        <v>0.503</v>
      </c>
      <c r="M75" s="8">
        <v>1.0573580463727299</v>
      </c>
      <c r="N75" s="8">
        <v>0.59</v>
      </c>
      <c r="O75" s="8">
        <v>0.59699999999999998</v>
      </c>
      <c r="P75" s="8">
        <f t="shared" si="8"/>
        <v>0.74811934879090991</v>
      </c>
      <c r="Q75" s="11">
        <v>4</v>
      </c>
    </row>
    <row r="76" spans="1:17" x14ac:dyDescent="0.15">
      <c r="A76" s="1" t="s">
        <v>12</v>
      </c>
      <c r="B76" s="1">
        <v>95</v>
      </c>
      <c r="D76" s="1">
        <v>330.22140502929699</v>
      </c>
      <c r="E76" s="1">
        <v>131.83279418945301</v>
      </c>
      <c r="F76" s="1">
        <v>53.382602691650398</v>
      </c>
      <c r="G76" s="1">
        <v>53.382602691650398</v>
      </c>
      <c r="H76" s="3">
        <f t="shared" si="6"/>
        <v>0.39922546564707673</v>
      </c>
      <c r="I76" s="4">
        <f t="shared" si="7"/>
        <v>0.59507341841715178</v>
      </c>
      <c r="J76" s="3">
        <f t="shared" si="9"/>
        <v>0</v>
      </c>
      <c r="K76" s="8">
        <v>-0.107329316437244</v>
      </c>
      <c r="L76" s="8">
        <v>0.41949999999999998</v>
      </c>
      <c r="M76" s="8">
        <v>1.15998165806135</v>
      </c>
      <c r="N76" s="8">
        <v>1.4950000000000001</v>
      </c>
      <c r="O76" s="8">
        <v>0.26350000000000001</v>
      </c>
      <c r="P76" s="8">
        <f t="shared" si="8"/>
        <v>0.97282721935378336</v>
      </c>
      <c r="Q76" s="11">
        <v>1</v>
      </c>
    </row>
    <row r="77" spans="1:17" x14ac:dyDescent="0.15">
      <c r="A77" s="1" t="s">
        <v>11</v>
      </c>
      <c r="B77" s="1">
        <v>96</v>
      </c>
      <c r="C77" s="1" t="s">
        <v>45</v>
      </c>
      <c r="D77" s="1">
        <v>249.32946777343699</v>
      </c>
      <c r="E77" s="1">
        <v>78.949668884277301</v>
      </c>
      <c r="F77" s="1">
        <v>19.534946441650401</v>
      </c>
      <c r="G77" s="1">
        <v>19.534946441650401</v>
      </c>
      <c r="H77" s="3">
        <f t="shared" si="6"/>
        <v>0.31664796620036112</v>
      </c>
      <c r="I77" s="4">
        <f t="shared" si="7"/>
        <v>0.75256455514355225</v>
      </c>
      <c r="J77" s="3">
        <f t="shared" si="9"/>
        <v>0</v>
      </c>
      <c r="K77" s="8">
        <v>0.64387360215187095</v>
      </c>
      <c r="L77" s="8">
        <v>0.79449999999999998</v>
      </c>
      <c r="M77" s="8">
        <v>1.6316778461138399</v>
      </c>
      <c r="N77" s="8">
        <v>0.41</v>
      </c>
      <c r="O77" s="8">
        <v>0.95500000000000007</v>
      </c>
      <c r="P77" s="8">
        <f t="shared" si="8"/>
        <v>0.99889261537127993</v>
      </c>
      <c r="Q77" s="11">
        <v>2</v>
      </c>
    </row>
    <row r="78" spans="1:17" x14ac:dyDescent="0.15">
      <c r="A78" s="1" t="s">
        <v>15</v>
      </c>
      <c r="B78" s="1">
        <v>97</v>
      </c>
      <c r="C78" s="1" t="s">
        <v>45</v>
      </c>
      <c r="D78" s="1">
        <v>279.04284667968801</v>
      </c>
      <c r="E78" s="1">
        <v>69.610076904296903</v>
      </c>
      <c r="F78" s="1">
        <v>8.1880264282226598</v>
      </c>
      <c r="G78" s="1">
        <v>8.1880264282226598</v>
      </c>
      <c r="H78" s="3">
        <f t="shared" si="6"/>
        <v>0.24946017334822415</v>
      </c>
      <c r="I78" s="4">
        <f t="shared" si="7"/>
        <v>0.88237297252982605</v>
      </c>
      <c r="J78" s="3">
        <f t="shared" si="9"/>
        <v>0</v>
      </c>
      <c r="K78" s="8">
        <v>1.3809134364128099</v>
      </c>
      <c r="L78" s="8">
        <v>1.538</v>
      </c>
      <c r="M78" s="8">
        <v>2.41011683146158</v>
      </c>
      <c r="N78" s="8">
        <v>1.75</v>
      </c>
      <c r="O78" s="8">
        <v>2.3354999999999997</v>
      </c>
      <c r="P78" s="8">
        <f t="shared" si="8"/>
        <v>2.1652056104871931</v>
      </c>
      <c r="Q78" s="11">
        <v>3</v>
      </c>
    </row>
    <row r="79" spans="1:17" x14ac:dyDescent="0.15">
      <c r="A79" s="1" t="s">
        <v>22</v>
      </c>
      <c r="B79" s="1">
        <v>98</v>
      </c>
      <c r="D79" s="1">
        <v>334.35784912109398</v>
      </c>
      <c r="E79" s="1">
        <v>201.80648803710901</v>
      </c>
      <c r="F79" s="1">
        <v>4.10593557357788</v>
      </c>
      <c r="G79" s="1">
        <v>4.10593557357788</v>
      </c>
      <c r="H79" s="3">
        <f t="shared" si="6"/>
        <v>0.6035643804013735</v>
      </c>
      <c r="I79" s="4">
        <f t="shared" si="7"/>
        <v>0.97965409529934011</v>
      </c>
      <c r="J79" s="3">
        <f t="shared" si="9"/>
        <v>0</v>
      </c>
      <c r="K79" s="8">
        <v>1.7364957928657501</v>
      </c>
      <c r="L79" s="8">
        <v>0.60799999999999998</v>
      </c>
      <c r="M79" s="8">
        <v>2.61531329154968</v>
      </c>
      <c r="N79" s="8">
        <v>1.905</v>
      </c>
      <c r="O79" s="8">
        <v>2.8449999999999998</v>
      </c>
      <c r="P79" s="8">
        <f t="shared" si="8"/>
        <v>2.4551044305165601</v>
      </c>
      <c r="Q79" s="11">
        <v>2</v>
      </c>
    </row>
    <row r="80" spans="1:17" x14ac:dyDescent="0.15">
      <c r="A80" s="1" t="s">
        <v>14</v>
      </c>
      <c r="B80" s="1">
        <v>99</v>
      </c>
      <c r="D80" s="1">
        <v>189.23326110839801</v>
      </c>
      <c r="E80" s="1">
        <v>70.762351989746094</v>
      </c>
      <c r="F80" s="1">
        <v>26.5757656097412</v>
      </c>
      <c r="G80" s="1">
        <v>26.5757656097412</v>
      </c>
      <c r="H80" s="3">
        <f t="shared" si="6"/>
        <v>0.37394246431768396</v>
      </c>
      <c r="I80" s="4">
        <f t="shared" si="7"/>
        <v>0.62443637241463945</v>
      </c>
      <c r="J80" s="3">
        <f t="shared" si="9"/>
        <v>0</v>
      </c>
      <c r="K80" s="8">
        <v>1.80148136615753</v>
      </c>
      <c r="L80" s="8">
        <v>2.1955</v>
      </c>
      <c r="M80" s="8">
        <v>1.26469792922338</v>
      </c>
      <c r="N80" s="8">
        <v>0.59499999999999997</v>
      </c>
      <c r="O80" s="8">
        <v>1.7989999999999999</v>
      </c>
      <c r="P80" s="8">
        <f t="shared" si="8"/>
        <v>1.2195659764077933</v>
      </c>
      <c r="Q80" s="11">
        <v>2</v>
      </c>
    </row>
    <row r="81" spans="1:17" x14ac:dyDescent="0.15">
      <c r="A81" s="1" t="s">
        <v>17</v>
      </c>
      <c r="B81" s="1">
        <v>100</v>
      </c>
      <c r="D81" s="1">
        <v>310.4580078125</v>
      </c>
      <c r="E81" s="1">
        <v>108.16193389892599</v>
      </c>
      <c r="F81" s="1">
        <v>30.554084777831999</v>
      </c>
      <c r="G81" s="1">
        <v>30.554084777831999</v>
      </c>
      <c r="H81" s="3">
        <f t="shared" si="6"/>
        <v>0.34839473029231705</v>
      </c>
      <c r="I81" s="4">
        <f t="shared" si="7"/>
        <v>0.71751536167628205</v>
      </c>
      <c r="J81" s="3">
        <f t="shared" si="9"/>
        <v>0</v>
      </c>
      <c r="K81" s="8">
        <v>2.53204977512359</v>
      </c>
      <c r="L81" s="8">
        <v>0.98150000000000004</v>
      </c>
      <c r="M81" s="8">
        <v>1.0940922300020799</v>
      </c>
      <c r="N81" s="8">
        <v>1.56</v>
      </c>
      <c r="O81" s="8">
        <v>1.8145</v>
      </c>
      <c r="P81" s="8">
        <f t="shared" si="8"/>
        <v>1.4895307433340266</v>
      </c>
      <c r="Q81" s="11">
        <v>1</v>
      </c>
    </row>
    <row r="82" spans="1:17" x14ac:dyDescent="0.15">
      <c r="A82" s="1" t="s">
        <v>14</v>
      </c>
      <c r="B82" s="1">
        <v>101</v>
      </c>
      <c r="D82" s="1">
        <v>189.32345581054699</v>
      </c>
      <c r="E82" s="1">
        <v>51.1970825195313</v>
      </c>
      <c r="F82" s="1">
        <v>39.3126220703125</v>
      </c>
      <c r="G82" s="1">
        <v>39.3126220703125</v>
      </c>
      <c r="H82" s="3">
        <f t="shared" si="6"/>
        <v>0.27042123386319028</v>
      </c>
      <c r="I82" s="4">
        <f t="shared" si="7"/>
        <v>0.23213159548075749</v>
      </c>
      <c r="J82" s="3">
        <f t="shared" si="9"/>
        <v>0</v>
      </c>
      <c r="K82" s="8">
        <v>-0.104354117065667</v>
      </c>
      <c r="L82" s="8">
        <v>1.7124999999999999</v>
      </c>
      <c r="M82" s="8">
        <v>0.84571474542220004</v>
      </c>
      <c r="N82" s="8">
        <v>0.52500000000000002</v>
      </c>
      <c r="O82" s="8">
        <v>0.183</v>
      </c>
      <c r="P82" s="8">
        <f t="shared" si="8"/>
        <v>0.51790491514073334</v>
      </c>
      <c r="Q82" s="11">
        <v>2</v>
      </c>
    </row>
    <row r="83" spans="1:17" x14ac:dyDescent="0.15">
      <c r="A83" s="1" t="s">
        <v>14</v>
      </c>
      <c r="B83" s="1">
        <v>102</v>
      </c>
      <c r="D83" s="1">
        <v>202.38990783691401</v>
      </c>
      <c r="E83" s="1">
        <v>129.76849365234401</v>
      </c>
      <c r="F83" s="1">
        <v>93.981773376464801</v>
      </c>
      <c r="G83" s="1">
        <v>93.981773376464801</v>
      </c>
      <c r="H83" s="3">
        <f t="shared" si="6"/>
        <v>0.64118065490158527</v>
      </c>
      <c r="I83" s="4">
        <f t="shared" si="7"/>
        <v>0.27577356620747667</v>
      </c>
      <c r="J83" s="3">
        <f t="shared" si="9"/>
        <v>0</v>
      </c>
      <c r="K83" s="8">
        <v>0.99263092875480596</v>
      </c>
      <c r="L83" s="8">
        <v>1.61</v>
      </c>
      <c r="M83" s="8">
        <v>0.69933923582235902</v>
      </c>
      <c r="N83" s="8">
        <v>-0.13999999999999999</v>
      </c>
      <c r="O83" s="8">
        <v>-0.155</v>
      </c>
      <c r="P83" s="8">
        <f t="shared" si="8"/>
        <v>0.13477974527411965</v>
      </c>
      <c r="Q83" s="11">
        <v>4</v>
      </c>
    </row>
  </sheetData>
  <autoFilter ref="A1:Q83" xr:uid="{00000000-0001-0000-0300-000000000000}"/>
  <phoneticPr fontId="4" type="noConversion"/>
  <pageMargins left="0.7" right="0.7" top="0.75" bottom="0.75" header="0.3" footer="0.3"/>
  <pageSetup paperSize="9" orientation="portrait" r:id="rId1"/>
  <ignoredErrors>
    <ignoredError sqref="P2:P5 P6:P55 P56:P8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G20" sqref="G20"/>
    </sheetView>
  </sheetViews>
  <sheetFormatPr defaultColWidth="9" defaultRowHeight="14.25" x14ac:dyDescent="0.2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H2A</vt:lpstr>
      <vt:lpstr>H2B</vt:lpstr>
      <vt:lpstr>H3</vt:lpstr>
      <vt:lpstr>H4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旭澎 袁</dc:creator>
  <cp:lastModifiedBy>旭澎 袁</cp:lastModifiedBy>
  <dcterms:created xsi:type="dcterms:W3CDTF">2025-09-12T15:14:00Z</dcterms:created>
  <dcterms:modified xsi:type="dcterms:W3CDTF">2026-07-22T08:43:10Z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E882E9BF9BF40F2D19C3E8685877F0C7_42</vt:lpwstr>
  </property>
  <property fmtid="{D5CDD505-2E9C-101B-9397-08002B2CF9AE}" pid="3" name="KSOProductBuildVer">
    <vt:lpwstr>2052-12.1.0.17900</vt:lpwstr>
  </property>
</Properties>
</file>