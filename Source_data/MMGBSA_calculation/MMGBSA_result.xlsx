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Histone_core_cancer_mutation\Source_data\MMGBSA_calculation\"/>
    </mc:Choice>
  </mc:AlternateContent>
  <xr:revisionPtr revIDLastSave="0" documentId="13_ncr:1_{EE096B1F-3658-40A3-8274-385CF9870F97}" xr6:coauthVersionLast="47" xr6:coauthVersionMax="47" xr10:uidLastSave="{00000000-0000-0000-0000-000000000000}"/>
  <bookViews>
    <workbookView xWindow="6600" yWindow="4545" windowWidth="28800" windowHeight="15345" xr2:uid="{F462FE08-0CA4-49F3-92B8-12EBD180F88B}"/>
  </bookViews>
  <sheets>
    <sheet name="mmgbsa" sheetId="1" r:id="rId1"/>
  </sheets>
  <calcPr calcId="191029"/>
</workbook>
</file>

<file path=xl/calcChain.xml><?xml version="1.0" encoding="utf-8"?>
<calcChain xmlns="http://schemas.openxmlformats.org/spreadsheetml/2006/main">
  <c r="G15" i="1" l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<sst xmlns="http://schemas.openxmlformats.org/spreadsheetml/2006/main" count="35" uniqueCount="20">
  <si>
    <t>chain</t>
  </si>
  <si>
    <t>system</t>
  </si>
  <si>
    <t>run1</t>
  </si>
  <si>
    <t>run2</t>
  </si>
  <si>
    <t>run3</t>
  </si>
  <si>
    <t>mean</t>
  </si>
  <si>
    <t>SEM</t>
  </si>
  <si>
    <t>chainC-chainD</t>
  </si>
  <si>
    <t>WT</t>
  </si>
  <si>
    <t>H2AR29Q</t>
  </si>
  <si>
    <t>H2AE56K</t>
  </si>
  <si>
    <t>H2BF70L</t>
  </si>
  <si>
    <t>chainA-chainB</t>
  </si>
  <si>
    <t>H3E50K</t>
  </si>
  <si>
    <t>H3E73K</t>
  </si>
  <si>
    <t>H3E105K</t>
  </si>
  <si>
    <t>chainA-DNA</t>
  </si>
  <si>
    <t>chainC-DNA</t>
  </si>
  <si>
    <t>H2AK74N</t>
  </si>
  <si>
    <t>H2BE105K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</si>
</sst>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Calibri"/>
      <family val="2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176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2F43C-8662-4977-A4C1-88FCE1165028}">
  <dimension ref="A1:G15"/>
  <sheetViews>
    <sheetView tabSelected="1" workbookViewId="0">
      <selection activeCell="F15" sqref="F15"/>
    </sheetView>
  </sheetViews>
  <sheetFormatPr defaultRowHeight="14.25" x14ac:dyDescent="0.2"/>
  <cols>
    <col min="1" max="1" width="16.125" bestFit="1" customWidth="1"/>
    <col min="2" max="2" width="12" bestFit="1" customWidth="1"/>
    <col min="3" max="5" width="12.75" bestFit="1" customWidth="1"/>
    <col min="6" max="6" width="9.875" bestFit="1" customWidth="1"/>
    <col min="7" max="7" width="6.875" bestFit="1" customWidth="1"/>
  </cols>
  <sheetData>
    <row r="1" spans="1:7" ht="18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spans="1:7" ht="18.75" x14ac:dyDescent="0.2">
      <c r="A2" s="1" t="s">
        <v>7</v>
      </c>
      <c r="B2" s="1" t="s">
        <v>8</v>
      </c>
      <c r="C2" s="1">
        <v>-140.631</v>
      </c>
      <c r="D2" s="1">
        <v>-136.54499999999999</v>
      </c>
      <c r="E2" s="1">
        <v>-140.6182</v>
      </c>
      <c r="F2" s="2">
        <f>AVERAGE(C2:E2)</f>
        <v>-139.26473333333334</v>
      </c>
      <c r="G2" s="3">
        <f>STDEV(C2:E2)/SQRT(COUNT(C2:E2))</f>
        <v>1.359871686757415</v>
      </c>
    </row>
    <row r="3" spans="1:7" ht="18.75" x14ac:dyDescent="0.2">
      <c r="A3" s="1" t="s">
        <v>7</v>
      </c>
      <c r="B3" s="1" t="s">
        <v>9</v>
      </c>
      <c r="C3" s="1">
        <v>-146.90010000000001</v>
      </c>
      <c r="D3" s="1">
        <v>-134.7696</v>
      </c>
      <c r="E3" s="1">
        <v>-149.012</v>
      </c>
      <c r="F3" s="2">
        <f t="shared" ref="F3:F15" si="0">AVERAGE(C3:E3)</f>
        <v>-143.56056666666669</v>
      </c>
      <c r="G3" s="3">
        <f t="shared" ref="G3:G15" si="1">STDEV(C3:E3)/SQRT(COUNT(C3:E3))</f>
        <v>4.4375613274009487</v>
      </c>
    </row>
    <row r="4" spans="1:7" ht="18.75" x14ac:dyDescent="0.2">
      <c r="A4" s="1" t="s">
        <v>7</v>
      </c>
      <c r="B4" s="1" t="s">
        <v>10</v>
      </c>
      <c r="C4" s="1">
        <v>-125.2329</v>
      </c>
      <c r="D4" s="1">
        <v>-133.0643</v>
      </c>
      <c r="E4" s="1">
        <v>-129.9486</v>
      </c>
      <c r="F4" s="2">
        <f t="shared" si="0"/>
        <v>-129.41526666666667</v>
      </c>
      <c r="G4" s="3">
        <f t="shared" si="1"/>
        <v>2.2764035833842042</v>
      </c>
    </row>
    <row r="5" spans="1:7" ht="18.75" x14ac:dyDescent="0.2">
      <c r="A5" s="1" t="s">
        <v>7</v>
      </c>
      <c r="B5" s="1" t="s">
        <v>11</v>
      </c>
      <c r="C5" s="1">
        <v>-144.94749999999999</v>
      </c>
      <c r="D5" s="1">
        <v>-143.49109999999999</v>
      </c>
      <c r="E5" s="1">
        <v>-146.33879999999999</v>
      </c>
      <c r="F5" s="2">
        <f t="shared" si="0"/>
        <v>-144.92579999999998</v>
      </c>
      <c r="G5" s="3">
        <f t="shared" si="1"/>
        <v>0.8221317797855372</v>
      </c>
    </row>
    <row r="6" spans="1:7" ht="18.75" x14ac:dyDescent="0.2">
      <c r="A6" s="1" t="s">
        <v>7</v>
      </c>
      <c r="B6" s="1" t="s">
        <v>19</v>
      </c>
      <c r="C6" s="1">
        <v>-141.06139999999999</v>
      </c>
      <c r="D6" s="1">
        <v>-138.57300000000001</v>
      </c>
      <c r="E6" s="1">
        <v>-147.8229</v>
      </c>
      <c r="F6" s="2">
        <f t="shared" si="0"/>
        <v>-142.48576666666668</v>
      </c>
      <c r="G6" s="3">
        <f t="shared" si="1"/>
        <v>2.7635591666866444</v>
      </c>
    </row>
    <row r="7" spans="1:7" ht="18.75" x14ac:dyDescent="0.2">
      <c r="A7" s="1" t="s">
        <v>12</v>
      </c>
      <c r="B7" s="1" t="s">
        <v>8</v>
      </c>
      <c r="C7" s="1">
        <v>-130.21889999999999</v>
      </c>
      <c r="D7" s="1">
        <v>-143.8852</v>
      </c>
      <c r="E7" s="1">
        <v>-135.73650000000001</v>
      </c>
      <c r="F7" s="2">
        <f t="shared" si="0"/>
        <v>-136.61353333333332</v>
      </c>
      <c r="G7" s="3">
        <f t="shared" si="1"/>
        <v>3.9694176534824086</v>
      </c>
    </row>
    <row r="8" spans="1:7" ht="18.75" x14ac:dyDescent="0.2">
      <c r="A8" s="1" t="s">
        <v>12</v>
      </c>
      <c r="B8" s="1" t="s">
        <v>13</v>
      </c>
      <c r="C8" s="1">
        <v>-129.61070000000001</v>
      </c>
      <c r="D8" s="1">
        <v>-125.1418</v>
      </c>
      <c r="E8" s="1">
        <v>-120.09569999999999</v>
      </c>
      <c r="F8" s="2">
        <f t="shared" si="0"/>
        <v>-124.94940000000001</v>
      </c>
      <c r="G8" s="3">
        <f t="shared" si="1"/>
        <v>2.7484280094871245</v>
      </c>
    </row>
    <row r="9" spans="1:7" ht="18.75" x14ac:dyDescent="0.2">
      <c r="A9" s="1" t="s">
        <v>12</v>
      </c>
      <c r="B9" s="1" t="s">
        <v>14</v>
      </c>
      <c r="C9" s="1">
        <v>-137.642</v>
      </c>
      <c r="D9" s="1">
        <v>-118.7898</v>
      </c>
      <c r="E9" s="1">
        <v>-126.52630000000001</v>
      </c>
      <c r="F9" s="2">
        <f t="shared" si="0"/>
        <v>-127.6527</v>
      </c>
      <c r="G9" s="3">
        <f t="shared" si="1"/>
        <v>5.4712260639945516</v>
      </c>
    </row>
    <row r="10" spans="1:7" ht="18.75" x14ac:dyDescent="0.2">
      <c r="A10" s="1" t="s">
        <v>12</v>
      </c>
      <c r="B10" s="1" t="s">
        <v>15</v>
      </c>
      <c r="C10" s="1">
        <v>-125.958</v>
      </c>
      <c r="D10" s="1">
        <v>-132.17420000000001</v>
      </c>
      <c r="E10" s="1">
        <v>-129.73259999999999</v>
      </c>
      <c r="F10" s="2">
        <f t="shared" si="0"/>
        <v>-129.28826666666666</v>
      </c>
      <c r="G10" s="3">
        <f t="shared" si="1"/>
        <v>1.8081629437390661</v>
      </c>
    </row>
    <row r="11" spans="1:7" ht="18.75" x14ac:dyDescent="0.2">
      <c r="A11" s="1" t="s">
        <v>16</v>
      </c>
      <c r="B11" s="1" t="s">
        <v>8</v>
      </c>
      <c r="C11" s="1">
        <v>-148.90880000000001</v>
      </c>
      <c r="D11" s="1">
        <v>-164.64359999999999</v>
      </c>
      <c r="E11" s="1">
        <v>-154.7329</v>
      </c>
      <c r="F11" s="2">
        <f t="shared" si="0"/>
        <v>-156.0951</v>
      </c>
      <c r="G11" s="3">
        <f t="shared" si="1"/>
        <v>4.5930263948004137</v>
      </c>
    </row>
    <row r="12" spans="1:7" ht="18.75" x14ac:dyDescent="0.2">
      <c r="A12" s="1" t="s">
        <v>16</v>
      </c>
      <c r="B12" s="1" t="s">
        <v>13</v>
      </c>
      <c r="C12" s="1">
        <v>-151.1063</v>
      </c>
      <c r="D12" s="1">
        <v>-158.28489999999999</v>
      </c>
      <c r="E12" s="1">
        <v>-153.88030000000001</v>
      </c>
      <c r="F12" s="2">
        <f t="shared" si="0"/>
        <v>-154.42383333333336</v>
      </c>
      <c r="G12" s="3">
        <f t="shared" si="1"/>
        <v>2.0900275798286563</v>
      </c>
    </row>
    <row r="13" spans="1:7" ht="18.75" x14ac:dyDescent="0.2">
      <c r="A13" s="1" t="s">
        <v>17</v>
      </c>
      <c r="B13" s="1" t="s">
        <v>8</v>
      </c>
      <c r="C13" s="1">
        <v>-84.563000000000002</v>
      </c>
      <c r="D13" s="1">
        <v>-78.778300000000002</v>
      </c>
      <c r="E13" s="1">
        <v>-74.616500000000002</v>
      </c>
      <c r="F13" s="2">
        <f t="shared" si="0"/>
        <v>-79.319266666666664</v>
      </c>
      <c r="G13" s="3">
        <f t="shared" si="1"/>
        <v>2.8840191436797213</v>
      </c>
    </row>
    <row r="14" spans="1:7" ht="18.75" x14ac:dyDescent="0.2">
      <c r="A14" s="1" t="s">
        <v>17</v>
      </c>
      <c r="B14" s="1" t="s">
        <v>9</v>
      </c>
      <c r="C14" s="1">
        <v>-63.190600000000003</v>
      </c>
      <c r="D14" s="1">
        <v>-73.284400000000005</v>
      </c>
      <c r="E14" s="1">
        <v>-68.051199999999994</v>
      </c>
      <c r="F14" s="2">
        <f t="shared" si="0"/>
        <v>-68.17540000000001</v>
      </c>
      <c r="G14" s="3">
        <f t="shared" si="1"/>
        <v>2.91449074110727</v>
      </c>
    </row>
    <row r="15" spans="1:7" ht="18.75" x14ac:dyDescent="0.2">
      <c r="A15" s="1" t="s">
        <v>17</v>
      </c>
      <c r="B15" s="1" t="s">
        <v>18</v>
      </c>
      <c r="C15" s="1">
        <v>-54.740200000000002</v>
      </c>
      <c r="D15" s="1">
        <v>-66.006200000000007</v>
      </c>
      <c r="E15" s="1">
        <v>-57.4756</v>
      </c>
      <c r="F15" s="2">
        <f t="shared" si="0"/>
        <v>-59.407333333333334</v>
      </c>
      <c r="G15" s="3">
        <f t="shared" si="1"/>
        <v>3.3926088414538933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mmgbsa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旭澎 袁</cp:lastModifiedBy>
  <dcterms:created xsi:type="dcterms:W3CDTF">2026-07-20T11:58:50Z</dcterms:created>
  <dcterms:modified xsi:type="dcterms:W3CDTF">2026-10-18T11:46:14Z</dcterms:modified>
</cp:coreProperties>
</file>