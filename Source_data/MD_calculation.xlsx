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E:\rm_wat\"/>
    </mc:Choice>
  </mc:AlternateContent>
  <xr:revisionPtr revIDLastSave="0" documentId="13_ncr:1_{E8BBDA7D-5B83-4B99-A540-75D06CF90B1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hbonds-20" sheetId="2" r:id="rId1"/>
    <sheet name="hbonds-50" sheetId="4" r:id="rId2"/>
    <sheet name="mmgbsa" sheetId="5" r:id="rId3"/>
    <sheet name="Sheet3" sheetId="3" r:id="rId4"/>
  </sheets>
  <calcPr calcId="191029"/>
</workbook>
</file>

<file path=xl/calcChain.xml><?xml version="1.0" encoding="utf-8"?>
<calcChain xmlns="http://schemas.openxmlformats.org/spreadsheetml/2006/main">
  <c r="G27" i="5" l="1"/>
  <c r="F27" i="5"/>
  <c r="G26" i="5"/>
  <c r="F26" i="5"/>
  <c r="G25" i="5"/>
  <c r="F25" i="5"/>
  <c r="G24" i="5"/>
  <c r="F24" i="5"/>
  <c r="G23" i="5"/>
  <c r="F23" i="5"/>
  <c r="G22" i="5"/>
  <c r="F22" i="5"/>
  <c r="G21" i="5"/>
  <c r="F21" i="5"/>
  <c r="G20" i="5"/>
  <c r="F20" i="5"/>
  <c r="G19" i="5"/>
  <c r="F19" i="5"/>
  <c r="G18" i="5"/>
  <c r="F18" i="5"/>
  <c r="G17" i="5"/>
  <c r="F17" i="5"/>
  <c r="G16" i="5"/>
  <c r="F16" i="5"/>
  <c r="G15" i="5"/>
  <c r="F15" i="5"/>
  <c r="G14" i="5"/>
  <c r="F14" i="5"/>
  <c r="G13" i="5"/>
  <c r="F13" i="5"/>
  <c r="G12" i="5"/>
  <c r="F12" i="5"/>
  <c r="G11" i="5"/>
  <c r="F11" i="5"/>
  <c r="G10" i="5"/>
  <c r="F10" i="5"/>
  <c r="G9" i="5"/>
  <c r="F9" i="5"/>
  <c r="G8" i="5"/>
  <c r="F8" i="5"/>
  <c r="G7" i="5"/>
  <c r="F7" i="5"/>
  <c r="G6" i="5"/>
  <c r="F6" i="5"/>
  <c r="G5" i="5"/>
  <c r="F5" i="5"/>
  <c r="G4" i="5"/>
  <c r="F4" i="5"/>
  <c r="G3" i="5"/>
  <c r="F3" i="5"/>
  <c r="G2" i="5"/>
  <c r="F2" i="5"/>
</calcChain>
</file>

<file path=xl/sharedStrings.xml><?xml version="1.0" encoding="utf-8"?>
<sst xmlns="http://schemas.openxmlformats.org/spreadsheetml/2006/main" count="177" uniqueCount="23">
  <si>
    <t>chain</t>
  </si>
  <si>
    <t>system</t>
  </si>
  <si>
    <t>run1</t>
  </si>
  <si>
    <t>run2</t>
  </si>
  <si>
    <t>run3</t>
  </si>
  <si>
    <t>mean</t>
  </si>
  <si>
    <t>SEM</t>
  </si>
  <si>
    <t>chainC-chainD</t>
  </si>
  <si>
    <t>WT</t>
  </si>
  <si>
    <t>H2AR29Q</t>
  </si>
  <si>
    <t>H2AE56K</t>
  </si>
  <si>
    <t>H2AK74N</t>
  </si>
  <si>
    <t>H2BF70L</t>
  </si>
  <si>
    <t>chainG-chainH</t>
  </si>
  <si>
    <t>chainA-chainB</t>
  </si>
  <si>
    <t>H3E50K</t>
  </si>
  <si>
    <t>H3E73K</t>
  </si>
  <si>
    <t>H3E105K</t>
  </si>
  <si>
    <t>chainE-chainF</t>
  </si>
  <si>
    <t>chainA-DNA</t>
  </si>
  <si>
    <t>chainE-DNA</t>
  </si>
  <si>
    <t>chainC-DNA</t>
  </si>
  <si>
    <t>chainG-DNA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</si>
</sst>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0_ "/>
    <numFmt numFmtId="177" formatCode="0.00_);[Red]\(0.00\)"/>
  </numFmts>
  <fonts count="4" x14ac:knownFonts="1">
    <font>
      <sz val="11"/>
      <color theme="1"/>
      <name val="宋体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4"/>
      <color theme="1"/>
      <name val="Calibri"/>
      <family val="2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58" fontId="0" fillId="0" borderId="0" xfId="0" applyNumberFormat="1">
      <alignment vertical="center"/>
    </xf>
    <xf numFmtId="0" fontId="2" fillId="0" borderId="0" xfId="0" applyFont="1">
      <alignment vertical="center"/>
    </xf>
    <xf numFmtId="176" fontId="2" fillId="0" borderId="0" xfId="0" applyNumberFormat="1" applyFont="1">
      <alignment vertical="center"/>
    </xf>
    <xf numFmtId="177" fontId="2" fillId="0" borderId="0" xfId="0" applyNumberFormat="1" applyFont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workbookViewId="0">
      <selection activeCell="I15" sqref="I15"/>
    </sheetView>
  </sheetViews>
  <sheetFormatPr defaultColWidth="8.875" defaultRowHeight="18.75" x14ac:dyDescent="0.15"/>
  <cols>
    <col min="1" max="1" width="16.75" style="3" customWidth="1"/>
    <col min="2" max="2" width="11.875" style="3" customWidth="1"/>
    <col min="3" max="5" width="6.375" style="3" customWidth="1"/>
    <col min="6" max="6" width="8" style="3" customWidth="1"/>
    <col min="7" max="7" width="6.75" style="3" customWidth="1"/>
    <col min="8" max="8" width="8.875" style="3"/>
  </cols>
  <sheetData>
    <row r="1" spans="1:7" x14ac:dyDescent="0.1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15">
      <c r="A2" s="3" t="s">
        <v>7</v>
      </c>
      <c r="B2" s="3" t="s">
        <v>8</v>
      </c>
      <c r="C2" s="3">
        <v>16</v>
      </c>
      <c r="D2" s="3">
        <v>14</v>
      </c>
      <c r="E2" s="3">
        <v>14</v>
      </c>
      <c r="F2" s="3">
        <v>14.67</v>
      </c>
      <c r="G2" s="3">
        <v>0.67</v>
      </c>
    </row>
    <row r="3" spans="1:7" x14ac:dyDescent="0.15">
      <c r="A3" s="3" t="s">
        <v>7</v>
      </c>
      <c r="B3" s="3" t="s">
        <v>9</v>
      </c>
      <c r="C3" s="3">
        <v>15</v>
      </c>
      <c r="D3" s="3">
        <v>14</v>
      </c>
      <c r="E3" s="3">
        <v>19</v>
      </c>
      <c r="F3" s="3">
        <v>16</v>
      </c>
      <c r="G3" s="3">
        <v>1.53</v>
      </c>
    </row>
    <row r="4" spans="1:7" x14ac:dyDescent="0.15">
      <c r="A4" s="3" t="s">
        <v>7</v>
      </c>
      <c r="B4" s="3" t="s">
        <v>10</v>
      </c>
      <c r="C4" s="3">
        <v>14</v>
      </c>
      <c r="D4" s="3">
        <v>17</v>
      </c>
      <c r="E4" s="3">
        <v>15</v>
      </c>
      <c r="F4" s="3">
        <v>15.33</v>
      </c>
      <c r="G4" s="3">
        <v>0.88</v>
      </c>
    </row>
    <row r="5" spans="1:7" x14ac:dyDescent="0.15">
      <c r="A5" s="3" t="s">
        <v>7</v>
      </c>
      <c r="B5" s="3" t="s">
        <v>12</v>
      </c>
      <c r="C5" s="3">
        <v>15</v>
      </c>
      <c r="D5" s="3">
        <v>15</v>
      </c>
      <c r="E5" s="3">
        <v>16</v>
      </c>
      <c r="F5" s="3">
        <v>15.33</v>
      </c>
      <c r="G5" s="3">
        <v>0.33</v>
      </c>
    </row>
    <row r="6" spans="1:7" x14ac:dyDescent="0.15">
      <c r="A6" s="3" t="s">
        <v>13</v>
      </c>
      <c r="B6" s="3" t="s">
        <v>8</v>
      </c>
      <c r="C6" s="3">
        <v>15</v>
      </c>
      <c r="D6" s="3">
        <v>13</v>
      </c>
      <c r="E6" s="3">
        <v>15</v>
      </c>
      <c r="F6" s="3">
        <v>14.33</v>
      </c>
      <c r="G6" s="3">
        <v>0.67</v>
      </c>
    </row>
    <row r="7" spans="1:7" x14ac:dyDescent="0.15">
      <c r="A7" s="3" t="s">
        <v>13</v>
      </c>
      <c r="B7" s="3" t="s">
        <v>9</v>
      </c>
      <c r="C7" s="3">
        <v>18</v>
      </c>
      <c r="D7" s="3">
        <v>11</v>
      </c>
      <c r="E7" s="3">
        <v>14</v>
      </c>
      <c r="F7" s="3">
        <v>14.33</v>
      </c>
      <c r="G7" s="3">
        <v>2.0299999999999998</v>
      </c>
    </row>
    <row r="8" spans="1:7" x14ac:dyDescent="0.15">
      <c r="A8" s="3" t="s">
        <v>13</v>
      </c>
      <c r="B8" s="3" t="s">
        <v>10</v>
      </c>
      <c r="C8" s="3">
        <v>17</v>
      </c>
      <c r="D8" s="3">
        <v>15</v>
      </c>
      <c r="E8" s="3">
        <v>16</v>
      </c>
      <c r="F8" s="3">
        <v>16</v>
      </c>
      <c r="G8" s="3">
        <v>0.57999999999999996</v>
      </c>
    </row>
    <row r="9" spans="1:7" x14ac:dyDescent="0.15">
      <c r="A9" s="3" t="s">
        <v>13</v>
      </c>
      <c r="B9" s="3" t="s">
        <v>12</v>
      </c>
      <c r="C9" s="3">
        <v>15</v>
      </c>
      <c r="D9" s="3">
        <v>16</v>
      </c>
      <c r="E9" s="3">
        <v>17</v>
      </c>
      <c r="F9" s="3">
        <v>16</v>
      </c>
      <c r="G9" s="3">
        <v>0.57999999999999996</v>
      </c>
    </row>
    <row r="10" spans="1:7" x14ac:dyDescent="0.15">
      <c r="A10" s="3" t="s">
        <v>14</v>
      </c>
      <c r="B10" s="3" t="s">
        <v>8</v>
      </c>
      <c r="C10" s="3">
        <v>17</v>
      </c>
      <c r="D10" s="3">
        <v>19</v>
      </c>
      <c r="E10" s="3">
        <v>19</v>
      </c>
      <c r="F10" s="3">
        <v>18.329999999999998</v>
      </c>
      <c r="G10" s="3">
        <v>0.67</v>
      </c>
    </row>
    <row r="11" spans="1:7" x14ac:dyDescent="0.15">
      <c r="A11" s="3" t="s">
        <v>14</v>
      </c>
      <c r="B11" s="3" t="s">
        <v>15</v>
      </c>
      <c r="C11" s="3">
        <v>15</v>
      </c>
      <c r="D11" s="3">
        <v>17</v>
      </c>
      <c r="E11" s="3">
        <v>16</v>
      </c>
      <c r="F11" s="3">
        <v>16</v>
      </c>
      <c r="G11" s="3">
        <v>0.57999999999999996</v>
      </c>
    </row>
    <row r="12" spans="1:7" x14ac:dyDescent="0.15">
      <c r="A12" s="3" t="s">
        <v>14</v>
      </c>
      <c r="B12" s="3" t="s">
        <v>16</v>
      </c>
      <c r="C12" s="3">
        <v>16</v>
      </c>
      <c r="D12" s="3">
        <v>15</v>
      </c>
      <c r="E12" s="3">
        <v>16</v>
      </c>
      <c r="F12" s="3">
        <v>15.67</v>
      </c>
      <c r="G12" s="3">
        <v>0.33</v>
      </c>
    </row>
    <row r="13" spans="1:7" x14ac:dyDescent="0.15">
      <c r="A13" s="3" t="s">
        <v>14</v>
      </c>
      <c r="B13" s="3" t="s">
        <v>17</v>
      </c>
      <c r="C13" s="3">
        <v>17</v>
      </c>
      <c r="D13" s="3">
        <v>16</v>
      </c>
      <c r="E13" s="3">
        <v>17</v>
      </c>
      <c r="F13" s="3">
        <v>16.670000000000002</v>
      </c>
      <c r="G13" s="3">
        <v>0.33</v>
      </c>
    </row>
    <row r="14" spans="1:7" x14ac:dyDescent="0.15">
      <c r="A14" s="3" t="s">
        <v>18</v>
      </c>
      <c r="B14" s="3" t="s">
        <v>8</v>
      </c>
      <c r="C14" s="3">
        <v>19</v>
      </c>
      <c r="D14" s="3">
        <v>19</v>
      </c>
      <c r="E14" s="3">
        <v>20</v>
      </c>
      <c r="F14" s="3">
        <v>19.329999999999998</v>
      </c>
      <c r="G14" s="3">
        <v>0.33</v>
      </c>
    </row>
    <row r="15" spans="1:7" x14ac:dyDescent="0.15">
      <c r="A15" s="3" t="s">
        <v>18</v>
      </c>
      <c r="B15" s="3" t="s">
        <v>15</v>
      </c>
      <c r="C15" s="3">
        <v>19</v>
      </c>
      <c r="D15" s="3">
        <v>21</v>
      </c>
      <c r="E15" s="3">
        <v>19</v>
      </c>
      <c r="F15" s="3">
        <v>19.670000000000002</v>
      </c>
      <c r="G15" s="3">
        <v>0.67</v>
      </c>
    </row>
    <row r="16" spans="1:7" x14ac:dyDescent="0.15">
      <c r="A16" s="3" t="s">
        <v>18</v>
      </c>
      <c r="B16" s="3" t="s">
        <v>16</v>
      </c>
      <c r="C16" s="3">
        <v>25</v>
      </c>
      <c r="D16" s="3">
        <v>19</v>
      </c>
      <c r="E16" s="3">
        <v>20</v>
      </c>
      <c r="F16" s="3">
        <v>21.33</v>
      </c>
      <c r="G16" s="3">
        <v>1.86</v>
      </c>
    </row>
    <row r="17" spans="1:7" x14ac:dyDescent="0.15">
      <c r="A17" s="3" t="s">
        <v>18</v>
      </c>
      <c r="B17" s="3" t="s">
        <v>17</v>
      </c>
      <c r="C17" s="3">
        <v>19</v>
      </c>
      <c r="D17" s="3">
        <v>20</v>
      </c>
      <c r="E17" s="3">
        <v>19</v>
      </c>
      <c r="F17" s="3">
        <v>19.329999999999998</v>
      </c>
      <c r="G17" s="3">
        <v>0.33</v>
      </c>
    </row>
    <row r="18" spans="1:7" x14ac:dyDescent="0.15">
      <c r="A18" s="3" t="s">
        <v>19</v>
      </c>
      <c r="B18" s="3" t="s">
        <v>8</v>
      </c>
      <c r="C18" s="3">
        <v>23</v>
      </c>
      <c r="D18" s="3">
        <v>23</v>
      </c>
      <c r="E18" s="3">
        <v>23</v>
      </c>
      <c r="F18" s="3">
        <v>23</v>
      </c>
      <c r="G18" s="3">
        <v>0</v>
      </c>
    </row>
    <row r="19" spans="1:7" x14ac:dyDescent="0.15">
      <c r="A19" s="3" t="s">
        <v>19</v>
      </c>
      <c r="B19" s="3" t="s">
        <v>15</v>
      </c>
      <c r="C19" s="3">
        <v>23</v>
      </c>
      <c r="D19" s="3">
        <v>25</v>
      </c>
      <c r="E19" s="3">
        <v>20</v>
      </c>
      <c r="F19" s="3">
        <v>22.67</v>
      </c>
      <c r="G19" s="3">
        <v>1.45</v>
      </c>
    </row>
    <row r="20" spans="1:7" x14ac:dyDescent="0.15">
      <c r="A20" s="3" t="s">
        <v>20</v>
      </c>
      <c r="B20" s="3" t="s">
        <v>8</v>
      </c>
      <c r="C20" s="3">
        <v>24</v>
      </c>
      <c r="D20" s="3">
        <v>22</v>
      </c>
      <c r="E20" s="3">
        <v>28</v>
      </c>
      <c r="F20" s="3">
        <v>24.67</v>
      </c>
      <c r="G20" s="3">
        <v>1.76</v>
      </c>
    </row>
    <row r="21" spans="1:7" x14ac:dyDescent="0.15">
      <c r="A21" s="3" t="s">
        <v>20</v>
      </c>
      <c r="B21" s="3" t="s">
        <v>15</v>
      </c>
      <c r="C21" s="3">
        <v>27</v>
      </c>
      <c r="D21" s="3">
        <v>27</v>
      </c>
      <c r="E21" s="3">
        <v>26</v>
      </c>
      <c r="F21" s="3">
        <v>26.67</v>
      </c>
      <c r="G21" s="3">
        <v>0.33</v>
      </c>
    </row>
    <row r="22" spans="1:7" x14ac:dyDescent="0.15">
      <c r="A22" s="3" t="s">
        <v>21</v>
      </c>
      <c r="B22" s="3" t="s">
        <v>8</v>
      </c>
      <c r="C22" s="3">
        <v>12</v>
      </c>
      <c r="D22" s="3">
        <v>11</v>
      </c>
      <c r="E22" s="3">
        <v>12</v>
      </c>
      <c r="F22" s="3">
        <v>11.67</v>
      </c>
      <c r="G22" s="3">
        <v>0.33</v>
      </c>
    </row>
    <row r="23" spans="1:7" x14ac:dyDescent="0.15">
      <c r="A23" s="3" t="s">
        <v>21</v>
      </c>
      <c r="B23" s="3" t="s">
        <v>9</v>
      </c>
      <c r="C23" s="3">
        <v>10</v>
      </c>
      <c r="D23" s="3">
        <v>11</v>
      </c>
      <c r="E23" s="3">
        <v>11</v>
      </c>
      <c r="F23" s="3">
        <v>10.67</v>
      </c>
      <c r="G23" s="3">
        <v>0.33</v>
      </c>
    </row>
    <row r="24" spans="1:7" x14ac:dyDescent="0.15">
      <c r="A24" s="3" t="s">
        <v>21</v>
      </c>
      <c r="B24" s="3" t="s">
        <v>11</v>
      </c>
      <c r="C24" s="3">
        <v>9</v>
      </c>
      <c r="D24" s="3">
        <v>8</v>
      </c>
      <c r="E24" s="3">
        <v>12</v>
      </c>
      <c r="F24" s="3">
        <v>9.67</v>
      </c>
      <c r="G24" s="3">
        <v>1.2</v>
      </c>
    </row>
    <row r="25" spans="1:7" x14ac:dyDescent="0.15">
      <c r="A25" s="3" t="s">
        <v>22</v>
      </c>
      <c r="B25" s="3" t="s">
        <v>8</v>
      </c>
      <c r="C25" s="3">
        <v>12</v>
      </c>
      <c r="D25" s="3">
        <v>10</v>
      </c>
      <c r="E25" s="3">
        <v>11</v>
      </c>
      <c r="F25" s="3">
        <v>11</v>
      </c>
      <c r="G25" s="3">
        <v>0.57999999999999996</v>
      </c>
    </row>
    <row r="26" spans="1:7" x14ac:dyDescent="0.15">
      <c r="A26" s="3" t="s">
        <v>22</v>
      </c>
      <c r="B26" s="3" t="s">
        <v>9</v>
      </c>
      <c r="C26" s="3">
        <v>12</v>
      </c>
      <c r="D26" s="3">
        <v>11</v>
      </c>
      <c r="E26" s="3">
        <v>11</v>
      </c>
      <c r="F26" s="3">
        <v>11.33</v>
      </c>
      <c r="G26" s="3">
        <v>0.33</v>
      </c>
    </row>
    <row r="27" spans="1:7" x14ac:dyDescent="0.15">
      <c r="A27" s="3" t="s">
        <v>22</v>
      </c>
      <c r="B27" s="3" t="s">
        <v>11</v>
      </c>
      <c r="C27" s="3">
        <v>10</v>
      </c>
      <c r="D27" s="3">
        <v>11</v>
      </c>
      <c r="E27" s="3">
        <v>11</v>
      </c>
      <c r="F27" s="3">
        <v>10.67</v>
      </c>
      <c r="G27" s="3">
        <v>0.33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7"/>
  <sheetViews>
    <sheetView workbookViewId="0">
      <selection activeCell="A9" sqref="A9:XFD9"/>
    </sheetView>
  </sheetViews>
  <sheetFormatPr defaultColWidth="8.875" defaultRowHeight="18.75" x14ac:dyDescent="0.15"/>
  <cols>
    <col min="1" max="1" width="16.75" style="3" customWidth="1"/>
    <col min="2" max="2" width="11.875" style="3" customWidth="1"/>
    <col min="3" max="5" width="6.375" style="3" customWidth="1"/>
    <col min="6" max="6" width="8" style="3" customWidth="1"/>
    <col min="7" max="7" width="6.75" style="3" customWidth="1"/>
  </cols>
  <sheetData>
    <row r="1" spans="1:7" x14ac:dyDescent="0.1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15">
      <c r="A2" s="3" t="s">
        <v>7</v>
      </c>
      <c r="B2" s="3" t="s">
        <v>8</v>
      </c>
      <c r="C2" s="3">
        <v>6</v>
      </c>
      <c r="D2" s="3">
        <v>6</v>
      </c>
      <c r="E2" s="3">
        <v>8</v>
      </c>
      <c r="F2" s="3">
        <v>6.67</v>
      </c>
      <c r="G2" s="3">
        <v>0.67</v>
      </c>
    </row>
    <row r="3" spans="1:7" x14ac:dyDescent="0.15">
      <c r="A3" s="3" t="s">
        <v>7</v>
      </c>
      <c r="B3" s="3" t="s">
        <v>9</v>
      </c>
      <c r="C3" s="3">
        <v>9</v>
      </c>
      <c r="D3" s="3">
        <v>7</v>
      </c>
      <c r="E3" s="3">
        <v>10</v>
      </c>
      <c r="F3" s="3">
        <v>8.67</v>
      </c>
      <c r="G3" s="3">
        <v>0.88</v>
      </c>
    </row>
    <row r="4" spans="1:7" x14ac:dyDescent="0.15">
      <c r="A4" s="3" t="s">
        <v>7</v>
      </c>
      <c r="B4" s="3" t="s">
        <v>10</v>
      </c>
      <c r="C4" s="3">
        <v>6</v>
      </c>
      <c r="D4" s="3">
        <v>7</v>
      </c>
      <c r="E4" s="3">
        <v>7</v>
      </c>
      <c r="F4" s="3">
        <v>6.67</v>
      </c>
      <c r="G4" s="3">
        <v>0.33</v>
      </c>
    </row>
    <row r="5" spans="1:7" x14ac:dyDescent="0.15">
      <c r="A5" s="3" t="s">
        <v>7</v>
      </c>
      <c r="B5" s="3" t="s">
        <v>12</v>
      </c>
      <c r="C5" s="3">
        <v>8</v>
      </c>
      <c r="D5" s="3">
        <v>5</v>
      </c>
      <c r="E5" s="3">
        <v>9</v>
      </c>
      <c r="F5" s="3">
        <v>7.33</v>
      </c>
      <c r="G5" s="3">
        <v>1.2</v>
      </c>
    </row>
    <row r="6" spans="1:7" x14ac:dyDescent="0.15">
      <c r="A6" s="3" t="s">
        <v>13</v>
      </c>
      <c r="B6" s="3" t="s">
        <v>8</v>
      </c>
      <c r="C6" s="3">
        <v>9</v>
      </c>
      <c r="D6" s="3">
        <v>6</v>
      </c>
      <c r="E6" s="3">
        <v>7</v>
      </c>
      <c r="F6" s="3">
        <v>7.33</v>
      </c>
      <c r="G6" s="3">
        <v>0.88</v>
      </c>
    </row>
    <row r="7" spans="1:7" x14ac:dyDescent="0.15">
      <c r="A7" s="3" t="s">
        <v>13</v>
      </c>
      <c r="B7" s="3" t="s">
        <v>9</v>
      </c>
      <c r="C7" s="3">
        <v>7</v>
      </c>
      <c r="D7" s="3">
        <v>6</v>
      </c>
      <c r="E7" s="3">
        <v>6</v>
      </c>
      <c r="F7" s="3">
        <v>6.33</v>
      </c>
      <c r="G7" s="3">
        <v>0.33</v>
      </c>
    </row>
    <row r="8" spans="1:7" x14ac:dyDescent="0.15">
      <c r="A8" s="3" t="s">
        <v>13</v>
      </c>
      <c r="B8" s="3" t="s">
        <v>10</v>
      </c>
      <c r="C8" s="3">
        <v>7</v>
      </c>
      <c r="D8" s="3">
        <v>10</v>
      </c>
      <c r="E8" s="3">
        <v>9</v>
      </c>
      <c r="F8" s="3">
        <v>8.67</v>
      </c>
      <c r="G8" s="3">
        <v>0.88</v>
      </c>
    </row>
    <row r="9" spans="1:7" x14ac:dyDescent="0.15">
      <c r="A9" s="3" t="s">
        <v>13</v>
      </c>
      <c r="B9" s="3" t="s">
        <v>12</v>
      </c>
      <c r="C9" s="3">
        <v>9</v>
      </c>
      <c r="D9" s="3">
        <v>8</v>
      </c>
      <c r="E9" s="3">
        <v>7</v>
      </c>
      <c r="F9" s="3">
        <v>8</v>
      </c>
      <c r="G9" s="3">
        <v>0.57999999999999996</v>
      </c>
    </row>
    <row r="10" spans="1:7" x14ac:dyDescent="0.15">
      <c r="A10" s="3" t="s">
        <v>14</v>
      </c>
      <c r="B10" s="3" t="s">
        <v>8</v>
      </c>
      <c r="C10" s="3">
        <v>13</v>
      </c>
      <c r="D10" s="3">
        <v>14</v>
      </c>
      <c r="E10" s="3">
        <v>13</v>
      </c>
      <c r="F10" s="3">
        <v>13.33</v>
      </c>
      <c r="G10" s="3">
        <v>0.33</v>
      </c>
    </row>
    <row r="11" spans="1:7" x14ac:dyDescent="0.15">
      <c r="A11" s="3" t="s">
        <v>14</v>
      </c>
      <c r="B11" s="3" t="s">
        <v>15</v>
      </c>
      <c r="C11" s="3">
        <v>11</v>
      </c>
      <c r="D11" s="3">
        <v>13</v>
      </c>
      <c r="E11" s="3">
        <v>11</v>
      </c>
      <c r="F11" s="3">
        <v>11.67</v>
      </c>
      <c r="G11" s="3">
        <v>0.67</v>
      </c>
    </row>
    <row r="12" spans="1:7" x14ac:dyDescent="0.15">
      <c r="A12" s="3" t="s">
        <v>14</v>
      </c>
      <c r="B12" s="3" t="s">
        <v>16</v>
      </c>
      <c r="C12" s="3">
        <v>9</v>
      </c>
      <c r="D12" s="3">
        <v>11</v>
      </c>
      <c r="E12" s="3">
        <v>12</v>
      </c>
      <c r="F12" s="3">
        <v>10.67</v>
      </c>
      <c r="G12" s="3">
        <v>0.88</v>
      </c>
    </row>
    <row r="13" spans="1:7" x14ac:dyDescent="0.15">
      <c r="A13" s="3" t="s">
        <v>14</v>
      </c>
      <c r="B13" s="3" t="s">
        <v>17</v>
      </c>
      <c r="C13" s="3">
        <v>12</v>
      </c>
      <c r="D13" s="3">
        <v>12</v>
      </c>
      <c r="E13" s="3">
        <v>9</v>
      </c>
      <c r="F13" s="3">
        <v>11</v>
      </c>
      <c r="G13" s="3">
        <v>1</v>
      </c>
    </row>
    <row r="14" spans="1:7" x14ac:dyDescent="0.15">
      <c r="A14" s="3" t="s">
        <v>18</v>
      </c>
      <c r="B14" s="3" t="s">
        <v>8</v>
      </c>
      <c r="C14" s="3">
        <v>12</v>
      </c>
      <c r="D14" s="3">
        <v>12</v>
      </c>
      <c r="E14" s="3">
        <v>14</v>
      </c>
      <c r="F14" s="3">
        <v>12.67</v>
      </c>
      <c r="G14" s="3">
        <v>0.67</v>
      </c>
    </row>
    <row r="15" spans="1:7" x14ac:dyDescent="0.15">
      <c r="A15" s="3" t="s">
        <v>18</v>
      </c>
      <c r="B15" s="3" t="s">
        <v>15</v>
      </c>
      <c r="C15" s="3">
        <v>15</v>
      </c>
      <c r="D15" s="3">
        <v>12</v>
      </c>
      <c r="E15" s="3">
        <v>15</v>
      </c>
      <c r="F15" s="3">
        <v>14</v>
      </c>
      <c r="G15" s="3">
        <v>1</v>
      </c>
    </row>
    <row r="16" spans="1:7" x14ac:dyDescent="0.15">
      <c r="A16" s="3" t="s">
        <v>18</v>
      </c>
      <c r="B16" s="3" t="s">
        <v>16</v>
      </c>
      <c r="C16" s="3">
        <v>11</v>
      </c>
      <c r="D16" s="3">
        <v>14</v>
      </c>
      <c r="E16" s="3">
        <v>13</v>
      </c>
      <c r="F16" s="3">
        <v>12.67</v>
      </c>
      <c r="G16" s="3">
        <v>0.88</v>
      </c>
    </row>
    <row r="17" spans="1:7" x14ac:dyDescent="0.15">
      <c r="A17" s="3" t="s">
        <v>18</v>
      </c>
      <c r="B17" s="3" t="s">
        <v>17</v>
      </c>
      <c r="C17" s="3">
        <v>11</v>
      </c>
      <c r="D17" s="3">
        <v>12</v>
      </c>
      <c r="E17" s="3">
        <v>13</v>
      </c>
      <c r="F17" s="3">
        <v>12</v>
      </c>
      <c r="G17" s="3">
        <v>0.57999999999999996</v>
      </c>
    </row>
    <row r="18" spans="1:7" x14ac:dyDescent="0.15">
      <c r="A18" s="3" t="s">
        <v>19</v>
      </c>
      <c r="B18" s="3" t="s">
        <v>8</v>
      </c>
      <c r="C18" s="3">
        <v>12</v>
      </c>
      <c r="D18" s="3">
        <v>17</v>
      </c>
      <c r="E18" s="3">
        <v>16</v>
      </c>
      <c r="F18" s="3">
        <v>15</v>
      </c>
      <c r="G18" s="3">
        <v>1.53</v>
      </c>
    </row>
    <row r="19" spans="1:7" x14ac:dyDescent="0.15">
      <c r="A19" s="3" t="s">
        <v>19</v>
      </c>
      <c r="B19" s="3" t="s">
        <v>15</v>
      </c>
      <c r="C19" s="3">
        <v>15</v>
      </c>
      <c r="D19" s="3">
        <v>12</v>
      </c>
      <c r="E19" s="3">
        <v>14</v>
      </c>
      <c r="F19" s="3">
        <v>13.67</v>
      </c>
      <c r="G19" s="3">
        <v>0.88</v>
      </c>
    </row>
    <row r="20" spans="1:7" x14ac:dyDescent="0.15">
      <c r="A20" s="3" t="s">
        <v>20</v>
      </c>
      <c r="B20" s="3" t="s">
        <v>8</v>
      </c>
      <c r="C20" s="3">
        <v>10</v>
      </c>
      <c r="D20" s="3">
        <v>14</v>
      </c>
      <c r="E20" s="3">
        <v>8</v>
      </c>
      <c r="F20" s="3">
        <v>10.67</v>
      </c>
      <c r="G20" s="3">
        <v>1.76</v>
      </c>
    </row>
    <row r="21" spans="1:7" x14ac:dyDescent="0.15">
      <c r="A21" s="3" t="s">
        <v>20</v>
      </c>
      <c r="B21" s="3" t="s">
        <v>15</v>
      </c>
      <c r="C21" s="3">
        <v>13</v>
      </c>
      <c r="D21" s="3">
        <v>15</v>
      </c>
      <c r="E21" s="3">
        <v>10</v>
      </c>
      <c r="F21" s="3">
        <v>12.67</v>
      </c>
      <c r="G21" s="3">
        <v>1.45</v>
      </c>
    </row>
    <row r="22" spans="1:7" x14ac:dyDescent="0.15">
      <c r="A22" s="3" t="s">
        <v>21</v>
      </c>
      <c r="B22" s="3" t="s">
        <v>8</v>
      </c>
      <c r="C22" s="3">
        <v>7</v>
      </c>
      <c r="D22" s="3">
        <v>7</v>
      </c>
      <c r="E22" s="3">
        <v>7</v>
      </c>
      <c r="F22" s="3">
        <v>7</v>
      </c>
      <c r="G22" s="3">
        <v>0</v>
      </c>
    </row>
    <row r="23" spans="1:7" x14ac:dyDescent="0.15">
      <c r="A23" s="3" t="s">
        <v>21</v>
      </c>
      <c r="B23" s="3" t="s">
        <v>9</v>
      </c>
      <c r="C23" s="3">
        <v>6</v>
      </c>
      <c r="D23" s="3">
        <v>7</v>
      </c>
      <c r="E23" s="3">
        <v>7</v>
      </c>
      <c r="F23" s="3">
        <v>6.67</v>
      </c>
      <c r="G23" s="3">
        <v>0.33</v>
      </c>
    </row>
    <row r="24" spans="1:7" x14ac:dyDescent="0.15">
      <c r="A24" s="3" t="s">
        <v>21</v>
      </c>
      <c r="B24" s="3" t="s">
        <v>11</v>
      </c>
      <c r="C24" s="3">
        <v>7</v>
      </c>
      <c r="D24" s="3">
        <v>7</v>
      </c>
      <c r="E24" s="3">
        <v>7</v>
      </c>
      <c r="F24" s="3">
        <v>7</v>
      </c>
      <c r="G24" s="3">
        <v>0</v>
      </c>
    </row>
    <row r="25" spans="1:7" x14ac:dyDescent="0.15">
      <c r="A25" s="3" t="s">
        <v>22</v>
      </c>
      <c r="B25" s="3" t="s">
        <v>8</v>
      </c>
      <c r="C25" s="3">
        <v>8</v>
      </c>
      <c r="D25" s="3">
        <v>7</v>
      </c>
      <c r="E25" s="3">
        <v>7</v>
      </c>
      <c r="F25" s="3">
        <v>7.33</v>
      </c>
      <c r="G25" s="3">
        <v>0.33</v>
      </c>
    </row>
    <row r="26" spans="1:7" x14ac:dyDescent="0.15">
      <c r="A26" s="3" t="s">
        <v>22</v>
      </c>
      <c r="B26" s="3" t="s">
        <v>9</v>
      </c>
      <c r="C26" s="3">
        <v>7</v>
      </c>
      <c r="D26" s="3">
        <v>7</v>
      </c>
      <c r="E26" s="3">
        <v>6</v>
      </c>
      <c r="F26" s="3">
        <v>6.67</v>
      </c>
      <c r="G26" s="3">
        <v>0.33</v>
      </c>
    </row>
    <row r="27" spans="1:7" x14ac:dyDescent="0.15">
      <c r="A27" s="3" t="s">
        <v>22</v>
      </c>
      <c r="B27" s="3" t="s">
        <v>11</v>
      </c>
      <c r="C27" s="3">
        <v>8</v>
      </c>
      <c r="D27" s="3">
        <v>8</v>
      </c>
      <c r="E27" s="3">
        <v>7</v>
      </c>
      <c r="F27" s="3">
        <v>7.67</v>
      </c>
      <c r="G27" s="3">
        <v>0.33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7"/>
  <sheetViews>
    <sheetView workbookViewId="0">
      <selection activeCell="A9" sqref="A9:XFD9"/>
    </sheetView>
  </sheetViews>
  <sheetFormatPr defaultColWidth="8.875" defaultRowHeight="18.75" x14ac:dyDescent="0.15"/>
  <cols>
    <col min="1" max="1" width="16.75" style="3" customWidth="1"/>
    <col min="2" max="2" width="11.875" style="3" customWidth="1"/>
    <col min="3" max="5" width="12.75" style="3" customWidth="1"/>
    <col min="6" max="6" width="16.875" style="4" customWidth="1"/>
    <col min="7" max="7" width="16.125" style="5" customWidth="1"/>
  </cols>
  <sheetData>
    <row r="1" spans="1:7" x14ac:dyDescent="0.1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</row>
    <row r="2" spans="1:7" x14ac:dyDescent="0.15">
      <c r="A2" s="3" t="s">
        <v>7</v>
      </c>
      <c r="B2" s="3" t="s">
        <v>8</v>
      </c>
      <c r="C2" s="3">
        <v>-140.631</v>
      </c>
      <c r="D2" s="3">
        <v>-136.54499999999999</v>
      </c>
      <c r="E2" s="3">
        <v>-140.6182</v>
      </c>
      <c r="F2" s="4">
        <f>AVERAGE(C2:E2)</f>
        <v>-139.26473333333334</v>
      </c>
      <c r="G2" s="5">
        <f>STDEV(C2:E2)/SQRT(COUNT(C2:E2))</f>
        <v>1.359871686757415</v>
      </c>
    </row>
    <row r="3" spans="1:7" x14ac:dyDescent="0.15">
      <c r="A3" s="3" t="s">
        <v>7</v>
      </c>
      <c r="B3" s="3" t="s">
        <v>9</v>
      </c>
      <c r="C3" s="3">
        <v>-146.90010000000001</v>
      </c>
      <c r="D3" s="3">
        <v>-134.7696</v>
      </c>
      <c r="E3" s="3">
        <v>-149.012</v>
      </c>
      <c r="F3" s="4">
        <f t="shared" ref="F3:F10" si="0">AVERAGE(C3:E3)</f>
        <v>-143.56056666666669</v>
      </c>
      <c r="G3" s="5">
        <f t="shared" ref="G3:G27" si="1">STDEV(C3:E3)/SQRT(COUNT(C3:E3))</f>
        <v>4.4375613274009487</v>
      </c>
    </row>
    <row r="4" spans="1:7" x14ac:dyDescent="0.15">
      <c r="A4" s="3" t="s">
        <v>7</v>
      </c>
      <c r="B4" s="3" t="s">
        <v>10</v>
      </c>
      <c r="C4" s="3">
        <v>-125.2329</v>
      </c>
      <c r="D4" s="3">
        <v>-133.5324</v>
      </c>
      <c r="E4" s="3">
        <v>-129.9486</v>
      </c>
      <c r="F4" s="4">
        <f t="shared" si="0"/>
        <v>-129.57130000000001</v>
      </c>
      <c r="G4" s="5">
        <f t="shared" si="1"/>
        <v>2.4032749551393393</v>
      </c>
    </row>
    <row r="5" spans="1:7" x14ac:dyDescent="0.15">
      <c r="A5" s="3" t="s">
        <v>7</v>
      </c>
      <c r="B5" s="3" t="s">
        <v>12</v>
      </c>
      <c r="C5" s="3">
        <v>-144.94749999999999</v>
      </c>
      <c r="D5" s="3">
        <v>-143.49109999999999</v>
      </c>
      <c r="E5" s="3">
        <v>-146.49799999999999</v>
      </c>
      <c r="F5" s="4">
        <f t="shared" si="0"/>
        <v>-144.97886666666665</v>
      </c>
      <c r="G5" s="5">
        <f t="shared" si="1"/>
        <v>0.86815893386202347</v>
      </c>
    </row>
    <row r="6" spans="1:7" x14ac:dyDescent="0.15">
      <c r="A6" s="3" t="s">
        <v>13</v>
      </c>
      <c r="B6" s="3" t="s">
        <v>8</v>
      </c>
      <c r="C6" s="3">
        <v>-148.55369999999999</v>
      </c>
      <c r="D6" s="3">
        <v>-140.2347</v>
      </c>
      <c r="E6" s="3">
        <v>-142.04230000000001</v>
      </c>
      <c r="F6" s="4">
        <f t="shared" si="0"/>
        <v>-143.61023333333335</v>
      </c>
      <c r="G6" s="5">
        <f t="shared" si="1"/>
        <v>2.5262126760121411</v>
      </c>
    </row>
    <row r="7" spans="1:7" x14ac:dyDescent="0.15">
      <c r="A7" s="3" t="s">
        <v>13</v>
      </c>
      <c r="B7" s="3" t="s">
        <v>9</v>
      </c>
      <c r="C7" s="3">
        <v>-148.20089999999999</v>
      </c>
      <c r="D7" s="3">
        <v>-138.27260000000001</v>
      </c>
      <c r="E7" s="3">
        <v>-142.1523</v>
      </c>
      <c r="F7" s="4">
        <f t="shared" si="0"/>
        <v>-142.87526666666668</v>
      </c>
      <c r="G7" s="5">
        <f t="shared" si="1"/>
        <v>2.8887595852045349</v>
      </c>
    </row>
    <row r="8" spans="1:7" x14ac:dyDescent="0.15">
      <c r="A8" s="3" t="s">
        <v>13</v>
      </c>
      <c r="B8" s="3" t="s">
        <v>10</v>
      </c>
      <c r="C8" s="3">
        <v>-143.63589999999999</v>
      </c>
      <c r="D8" s="3">
        <v>-147.6018</v>
      </c>
      <c r="E8" s="3">
        <v>-154.26159999999999</v>
      </c>
      <c r="F8" s="4">
        <f t="shared" si="0"/>
        <v>-148.49976666666666</v>
      </c>
      <c r="G8" s="5">
        <f t="shared" si="1"/>
        <v>3.1000609253869675</v>
      </c>
    </row>
    <row r="9" spans="1:7" x14ac:dyDescent="0.15">
      <c r="A9" s="3" t="s">
        <v>13</v>
      </c>
      <c r="B9" s="3" t="s">
        <v>12</v>
      </c>
      <c r="C9" s="3">
        <v>-146.14349999999999</v>
      </c>
      <c r="D9" s="3">
        <v>-148.87430000000001</v>
      </c>
      <c r="E9" s="3">
        <v>-146.5643</v>
      </c>
      <c r="F9" s="4">
        <f t="shared" si="0"/>
        <v>-147.19403333333332</v>
      </c>
      <c r="G9" s="5">
        <f t="shared" si="1"/>
        <v>0.84886987878656484</v>
      </c>
    </row>
    <row r="10" spans="1:7" x14ac:dyDescent="0.15">
      <c r="A10" s="3" t="s">
        <v>14</v>
      </c>
      <c r="B10" s="3" t="s">
        <v>8</v>
      </c>
      <c r="C10" s="3">
        <v>-130.21889999999999</v>
      </c>
      <c r="D10" s="3">
        <v>-143.8852</v>
      </c>
      <c r="E10" s="3">
        <v>-135.73650000000001</v>
      </c>
      <c r="F10" s="4">
        <f t="shared" si="0"/>
        <v>-136.61353333333332</v>
      </c>
      <c r="G10" s="5">
        <f t="shared" si="1"/>
        <v>3.9694176534824086</v>
      </c>
    </row>
    <row r="11" spans="1:7" x14ac:dyDescent="0.15">
      <c r="A11" s="3" t="s">
        <v>14</v>
      </c>
      <c r="B11" s="3" t="s">
        <v>15</v>
      </c>
      <c r="C11" s="3">
        <v>-129.61070000000001</v>
      </c>
      <c r="D11" s="3">
        <v>-125.1418</v>
      </c>
      <c r="E11" s="3">
        <v>-120.09569999999999</v>
      </c>
      <c r="F11" s="4">
        <f t="shared" ref="F11:F27" si="2">AVERAGE(C11:E11)</f>
        <v>-124.94940000000001</v>
      </c>
      <c r="G11" s="5">
        <f t="shared" si="1"/>
        <v>2.7484280094871245</v>
      </c>
    </row>
    <row r="12" spans="1:7" x14ac:dyDescent="0.15">
      <c r="A12" s="3" t="s">
        <v>14</v>
      </c>
      <c r="B12" s="3" t="s">
        <v>16</v>
      </c>
      <c r="C12" s="3">
        <v>-137.642</v>
      </c>
      <c r="D12" s="3">
        <v>-118.7898</v>
      </c>
      <c r="E12" s="3">
        <v>-126.52630000000001</v>
      </c>
      <c r="F12" s="4">
        <f t="shared" si="2"/>
        <v>-127.6527</v>
      </c>
      <c r="G12" s="5">
        <f t="shared" si="1"/>
        <v>5.4712260639945516</v>
      </c>
    </row>
    <row r="13" spans="1:7" x14ac:dyDescent="0.15">
      <c r="A13" s="3" t="s">
        <v>14</v>
      </c>
      <c r="B13" s="3" t="s">
        <v>17</v>
      </c>
      <c r="C13" s="3">
        <v>-125.958</v>
      </c>
      <c r="D13" s="3">
        <v>-132.17420000000001</v>
      </c>
      <c r="E13" s="3">
        <v>-129.73259999999999</v>
      </c>
      <c r="F13" s="4">
        <f t="shared" si="2"/>
        <v>-129.28826666666666</v>
      </c>
      <c r="G13" s="5">
        <f t="shared" si="1"/>
        <v>1.8081629437390661</v>
      </c>
    </row>
    <row r="14" spans="1:7" x14ac:dyDescent="0.15">
      <c r="A14" s="3" t="s">
        <v>18</v>
      </c>
      <c r="B14" s="3" t="s">
        <v>8</v>
      </c>
      <c r="C14" s="3">
        <v>-144.22280000000001</v>
      </c>
      <c r="D14" s="3">
        <v>-153.02209999999999</v>
      </c>
      <c r="E14" s="3">
        <v>-158.77420000000001</v>
      </c>
      <c r="F14" s="4">
        <f t="shared" si="2"/>
        <v>-152.00636666666668</v>
      </c>
      <c r="G14" s="5">
        <f t="shared" si="1"/>
        <v>4.2312171670152363</v>
      </c>
    </row>
    <row r="15" spans="1:7" x14ac:dyDescent="0.15">
      <c r="A15" s="3" t="s">
        <v>18</v>
      </c>
      <c r="B15" s="3" t="s">
        <v>15</v>
      </c>
      <c r="C15" s="3">
        <v>-144.66730000000001</v>
      </c>
      <c r="D15" s="3">
        <v>-140.7253</v>
      </c>
      <c r="E15" s="3">
        <v>-151.34739999999999</v>
      </c>
      <c r="F15" s="4">
        <f t="shared" si="2"/>
        <v>-145.58000000000001</v>
      </c>
      <c r="G15" s="5">
        <f t="shared" si="1"/>
        <v>3.100108496488466</v>
      </c>
    </row>
    <row r="16" spans="1:7" x14ac:dyDescent="0.15">
      <c r="A16" s="3" t="s">
        <v>18</v>
      </c>
      <c r="B16" s="3" t="s">
        <v>16</v>
      </c>
      <c r="C16" s="3">
        <v>-147.87549999999999</v>
      </c>
      <c r="D16" s="3">
        <v>-139.85380000000001</v>
      </c>
      <c r="E16" s="3">
        <v>-144.68049999999999</v>
      </c>
      <c r="F16" s="4">
        <f t="shared" si="2"/>
        <v>-144.13659999999999</v>
      </c>
      <c r="G16" s="5">
        <f t="shared" si="1"/>
        <v>2.3315794453545804</v>
      </c>
    </row>
    <row r="17" spans="1:7" x14ac:dyDescent="0.15">
      <c r="A17" s="3" t="s">
        <v>18</v>
      </c>
      <c r="B17" s="3" t="s">
        <v>17</v>
      </c>
      <c r="C17" s="3">
        <v>-146.1848</v>
      </c>
      <c r="D17" s="3">
        <v>-144.54759999999999</v>
      </c>
      <c r="E17" s="3">
        <v>-148.73820000000001</v>
      </c>
      <c r="F17" s="4">
        <f t="shared" si="2"/>
        <v>-146.49019999999999</v>
      </c>
      <c r="G17" s="5">
        <f t="shared" si="1"/>
        <v>1.2193213905010221</v>
      </c>
    </row>
    <row r="18" spans="1:7" x14ac:dyDescent="0.15">
      <c r="A18" s="3" t="s">
        <v>19</v>
      </c>
      <c r="B18" s="3" t="s">
        <v>8</v>
      </c>
      <c r="C18" s="3">
        <v>-148.90880000000001</v>
      </c>
      <c r="D18" s="3">
        <v>-164.64359999999999</v>
      </c>
      <c r="E18" s="3">
        <v>-154.7329</v>
      </c>
      <c r="F18" s="4">
        <f t="shared" si="2"/>
        <v>-156.0951</v>
      </c>
      <c r="G18" s="5">
        <f t="shared" si="1"/>
        <v>4.5930263948004137</v>
      </c>
    </row>
    <row r="19" spans="1:7" x14ac:dyDescent="0.15">
      <c r="A19" s="3" t="s">
        <v>19</v>
      </c>
      <c r="B19" s="3" t="s">
        <v>15</v>
      </c>
      <c r="C19" s="3">
        <v>-151.1063</v>
      </c>
      <c r="D19" s="3">
        <v>-158.28489999999999</v>
      </c>
      <c r="E19" s="3">
        <v>-153.88030000000001</v>
      </c>
      <c r="F19" s="4">
        <f t="shared" si="2"/>
        <v>-154.42383333333336</v>
      </c>
      <c r="G19" s="5">
        <f t="shared" si="1"/>
        <v>2.0900275798286563</v>
      </c>
    </row>
    <row r="20" spans="1:7" x14ac:dyDescent="0.15">
      <c r="A20" s="3" t="s">
        <v>20</v>
      </c>
      <c r="B20" s="3" t="s">
        <v>8</v>
      </c>
      <c r="C20" s="3">
        <v>-149.22929999999999</v>
      </c>
      <c r="D20" s="3">
        <v>-139.29419999999999</v>
      </c>
      <c r="E20" s="3">
        <v>-147.23060000000001</v>
      </c>
      <c r="F20" s="4">
        <f t="shared" si="2"/>
        <v>-145.25136666666666</v>
      </c>
      <c r="G20" s="5">
        <f t="shared" si="1"/>
        <v>3.0339510237385947</v>
      </c>
    </row>
    <row r="21" spans="1:7" x14ac:dyDescent="0.15">
      <c r="A21" s="3" t="s">
        <v>20</v>
      </c>
      <c r="B21" s="3" t="s">
        <v>15</v>
      </c>
      <c r="C21" s="3">
        <v>-166.82589999999999</v>
      </c>
      <c r="D21" s="3">
        <v>-161.10720000000001</v>
      </c>
      <c r="E21" s="3">
        <v>-148.9924</v>
      </c>
      <c r="F21" s="4">
        <f t="shared" si="2"/>
        <v>-158.97516666666664</v>
      </c>
      <c r="G21" s="5">
        <f t="shared" si="1"/>
        <v>5.2572998507894786</v>
      </c>
    </row>
    <row r="22" spans="1:7" x14ac:dyDescent="0.15">
      <c r="A22" s="3" t="s">
        <v>21</v>
      </c>
      <c r="B22" s="3" t="s">
        <v>8</v>
      </c>
      <c r="C22" s="3">
        <v>-84.563000000000002</v>
      </c>
      <c r="D22" s="3">
        <v>-78.778300000000002</v>
      </c>
      <c r="E22" s="3">
        <v>-74.616500000000002</v>
      </c>
      <c r="F22" s="4">
        <f t="shared" si="2"/>
        <v>-79.319266666666664</v>
      </c>
      <c r="G22" s="5">
        <f t="shared" si="1"/>
        <v>2.8840191436797213</v>
      </c>
    </row>
    <row r="23" spans="1:7" x14ac:dyDescent="0.15">
      <c r="A23" s="3" t="s">
        <v>21</v>
      </c>
      <c r="B23" s="3" t="s">
        <v>9</v>
      </c>
      <c r="C23" s="3">
        <v>-63.190600000000003</v>
      </c>
      <c r="D23" s="3">
        <v>-73.284400000000005</v>
      </c>
      <c r="E23" s="3">
        <v>-68.051199999999994</v>
      </c>
      <c r="F23" s="4">
        <f t="shared" si="2"/>
        <v>-68.17540000000001</v>
      </c>
      <c r="G23" s="5">
        <f t="shared" si="1"/>
        <v>2.91449074110727</v>
      </c>
    </row>
    <row r="24" spans="1:7" x14ac:dyDescent="0.15">
      <c r="A24" s="3" t="s">
        <v>21</v>
      </c>
      <c r="B24" s="3" t="s">
        <v>11</v>
      </c>
      <c r="C24" s="3">
        <v>-55.355499999999999</v>
      </c>
      <c r="D24" s="3">
        <v>-66.006200000000007</v>
      </c>
      <c r="E24" s="3">
        <v>-58.413499999999999</v>
      </c>
      <c r="F24" s="4">
        <f t="shared" si="2"/>
        <v>-59.925066666666673</v>
      </c>
      <c r="G24" s="5">
        <f t="shared" si="1"/>
        <v>3.1661216002828749</v>
      </c>
    </row>
    <row r="25" spans="1:7" x14ac:dyDescent="0.15">
      <c r="A25" s="3" t="s">
        <v>22</v>
      </c>
      <c r="B25" s="3" t="s">
        <v>8</v>
      </c>
      <c r="C25" s="3">
        <v>-68.8065</v>
      </c>
      <c r="D25" s="3">
        <v>-69.851399999999998</v>
      </c>
      <c r="E25" s="3">
        <v>-74.378500000000003</v>
      </c>
      <c r="F25" s="4">
        <f t="shared" si="2"/>
        <v>-71.012133333333324</v>
      </c>
      <c r="G25" s="5">
        <f t="shared" si="1"/>
        <v>1.7099973102642925</v>
      </c>
    </row>
    <row r="26" spans="1:7" x14ac:dyDescent="0.15">
      <c r="A26" s="3" t="s">
        <v>22</v>
      </c>
      <c r="B26" s="3" t="s">
        <v>9</v>
      </c>
      <c r="C26" s="3">
        <v>-60.486199999999997</v>
      </c>
      <c r="D26" s="3">
        <v>-63.4711</v>
      </c>
      <c r="E26" s="3">
        <v>-73.065399999999997</v>
      </c>
      <c r="F26" s="4">
        <f t="shared" si="2"/>
        <v>-65.674233333333333</v>
      </c>
      <c r="G26" s="5">
        <f t="shared" si="1"/>
        <v>3.7947075215943116</v>
      </c>
    </row>
    <row r="27" spans="1:7" x14ac:dyDescent="0.15">
      <c r="A27" s="3" t="s">
        <v>22</v>
      </c>
      <c r="B27" s="3" t="s">
        <v>11</v>
      </c>
      <c r="C27" s="3">
        <v>-66.183499999999995</v>
      </c>
      <c r="D27" s="3">
        <v>-59.417900000000003</v>
      </c>
      <c r="E27" s="3">
        <v>-59.017099999999999</v>
      </c>
      <c r="F27" s="4">
        <f t="shared" si="2"/>
        <v>-61.539499999999997</v>
      </c>
      <c r="G27" s="5">
        <f t="shared" si="1"/>
        <v>2.3248807969442198</v>
      </c>
    </row>
  </sheetData>
  <phoneticPr fontId="3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9"/>
  <sheetViews>
    <sheetView workbookViewId="0">
      <selection activeCell="F50" sqref="F50"/>
    </sheetView>
  </sheetViews>
  <sheetFormatPr defaultColWidth="8.875" defaultRowHeight="13.5" x14ac:dyDescent="0.15"/>
  <sheetData>
    <row r="1" spans="1:10" x14ac:dyDescent="0.15">
      <c r="A1" s="1"/>
    </row>
    <row r="5" spans="1:10" x14ac:dyDescent="0.15">
      <c r="J5" s="2"/>
    </row>
    <row r="13" spans="1:10" x14ac:dyDescent="0.15">
      <c r="J13" s="2"/>
    </row>
    <row r="21" spans="10:10" x14ac:dyDescent="0.15">
      <c r="J21" s="2"/>
    </row>
    <row r="29" spans="10:10" x14ac:dyDescent="0.15">
      <c r="J29" s="2"/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hbonds-20</vt:lpstr>
      <vt:lpstr>hbonds-50</vt:lpstr>
      <vt:lpstr>mmgbsa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旭澎 袁</cp:lastModifiedBy>
  <dcterms:created xsi:type="dcterms:W3CDTF">2026-05-18T16:17:00Z</dcterms:created>
  <dcterms:modified xsi:type="dcterms:W3CDTF">2026-06-29T10:44:46Z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C684C009ADEF2C527CD6066ACBA94A47_41</vt:lpwstr>
  </property>
  <property fmtid="{D5CDD505-2E9C-101B-9397-08002B2CF9AE}" pid="3" name="KSOProductBuildVer">
    <vt:lpwstr>2052-12.1.0.17900</vt:lpwstr>
  </property>
</Properties>
</file>